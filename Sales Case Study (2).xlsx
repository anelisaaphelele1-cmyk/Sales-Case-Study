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46e2c472cf80f/Desktop/"/>
    </mc:Choice>
  </mc:AlternateContent>
  <xr:revisionPtr revIDLastSave="0" documentId="8_{DA4083E3-A601-47A8-B291-4EC417213014}" xr6:coauthVersionLast="47" xr6:coauthVersionMax="47" xr10:uidLastSave="{00000000-0000-0000-0000-000000000000}"/>
  <bookViews>
    <workbookView xWindow="-120" yWindow="-120" windowWidth="20730" windowHeight="11040" xr2:uid="{7E07F457-5C7B-4A16-B375-054D511EB1FA}"/>
  </bookViews>
  <sheets>
    <sheet name="Price Elasticity of Demand" sheetId="3" r:id="rId1"/>
    <sheet name="Sales Case Study (2)" sheetId="1" r:id="rId2"/>
  </sheets>
  <calcPr calcId="0"/>
  <pivotCaches>
    <pivotCache cacheId="27" r:id="rId3"/>
  </pivotCaches>
</workbook>
</file>

<file path=xl/calcChain.xml><?xml version="1.0" encoding="utf-8"?>
<calcChain xmlns="http://schemas.openxmlformats.org/spreadsheetml/2006/main">
  <c r="H15" i="1" l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G4" i="1"/>
  <c r="G5" i="1"/>
  <c r="G6" i="1"/>
  <c r="G7" i="1"/>
  <c r="G8" i="1"/>
  <c r="G9" i="1"/>
  <c r="G10" i="1"/>
  <c r="G2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12" i="1"/>
  <c r="F13" i="1"/>
  <c r="F14" i="1"/>
  <c r="F15" i="1"/>
  <c r="F16" i="1"/>
  <c r="F17" i="1"/>
  <c r="F18" i="1"/>
  <c r="F19" i="1"/>
  <c r="F20" i="1"/>
  <c r="F21" i="1"/>
  <c r="F22" i="1"/>
  <c r="F3" i="1"/>
  <c r="F4" i="1"/>
  <c r="F5" i="1"/>
  <c r="F6" i="1"/>
  <c r="F7" i="1"/>
  <c r="F8" i="1"/>
  <c r="F9" i="1"/>
  <c r="F10" i="1"/>
  <c r="F11" i="1"/>
  <c r="F2" i="1"/>
  <c r="E1053" i="1"/>
  <c r="E1054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63" i="1"/>
  <c r="E64" i="1"/>
  <c r="E65" i="1"/>
  <c r="E66" i="1"/>
  <c r="E67" i="1"/>
  <c r="E68" i="1"/>
  <c r="E69" i="1"/>
  <c r="E70" i="1"/>
  <c r="E71" i="1"/>
  <c r="E72" i="1"/>
  <c r="E73" i="1"/>
  <c r="E51" i="1"/>
  <c r="E52" i="1"/>
  <c r="E53" i="1"/>
  <c r="E54" i="1"/>
  <c r="E55" i="1"/>
  <c r="E56" i="1"/>
  <c r="E57" i="1"/>
  <c r="E58" i="1"/>
  <c r="E59" i="1"/>
  <c r="E60" i="1"/>
  <c r="E61" i="1"/>
  <c r="E62" i="1"/>
  <c r="E39" i="1"/>
  <c r="E40" i="1"/>
  <c r="E41" i="1"/>
  <c r="E42" i="1"/>
  <c r="E43" i="1"/>
  <c r="E44" i="1"/>
  <c r="E45" i="1"/>
  <c r="E46" i="1"/>
  <c r="E47" i="1"/>
  <c r="E48" i="1"/>
  <c r="E49" i="1"/>
  <c r="E50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<sst xmlns="http://schemas.openxmlformats.org/spreadsheetml/2006/main" count="1067" uniqueCount="1064">
  <si>
    <t>Date</t>
  </si>
  <si>
    <t>Sales</t>
  </si>
  <si>
    <t>Cost Of Sales</t>
  </si>
  <si>
    <t>Quantity Sold</t>
  </si>
  <si>
    <t>30/12/2013</t>
  </si>
  <si>
    <t>31/12/2013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</si>
  <si>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</si>
  <si>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</si>
  <si>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</si>
  <si>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</si>
  <si>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</si>
  <si>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</si>
  <si>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</si>
  <si>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</si>
  <si>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</si>
  <si>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</si>
  <si>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</si>
  <si>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</si>
  <si>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13/1/2014</t>
  </si>
  <si>
    <t>14/1/2014</t>
  </si>
  <si>
    <t>15/1/2014</t>
  </si>
  <si>
    <t>16/1/2014</t>
  </si>
  <si>
    <t>17/1/2014</t>
  </si>
  <si>
    <t>18/1/2014</t>
  </si>
  <si>
    <t>19/1/2014</t>
  </si>
  <si>
    <t>20/1/2014</t>
  </si>
  <si>
    <t>21/1/2014</t>
  </si>
  <si>
    <t>22/1/2014</t>
  </si>
  <si>
    <t>23/1/2014</t>
  </si>
  <si>
    <t>24/1/2014</t>
  </si>
  <si>
    <t>25/1/2014</t>
  </si>
  <si>
    <t>26/1/2014</t>
  </si>
  <si>
    <t>27/1/2014</t>
  </si>
  <si>
    <t>28/1/2014</t>
  </si>
  <si>
    <t>29/1/2014</t>
  </si>
  <si>
    <t>30/1/2014</t>
  </si>
  <si>
    <t>31/1/2014</t>
  </si>
  <si>
    <t>1/2/2014</t>
  </si>
  <si>
    <t>2/2/2014</t>
  </si>
  <si>
    <t>3/2/2014</t>
  </si>
  <si>
    <t>4/2/2014</t>
  </si>
  <si>
    <t>5/2/2014</t>
  </si>
  <si>
    <t>6/2/2014</t>
  </si>
  <si>
    <t>7/2/2014</t>
  </si>
  <si>
    <t>8/2/2014</t>
  </si>
  <si>
    <t>9/2/2014</t>
  </si>
  <si>
    <t>10/2/2014</t>
  </si>
  <si>
    <t>11/2/2014</t>
  </si>
  <si>
    <t>12/2/2014</t>
  </si>
  <si>
    <t>13/2/2014</t>
  </si>
  <si>
    <t>14/2/2014</t>
  </si>
  <si>
    <t>15/2/2014</t>
  </si>
  <si>
    <t>16/2/2014</t>
  </si>
  <si>
    <t>17/2/2014</t>
  </si>
  <si>
    <t>18/2/2014</t>
  </si>
  <si>
    <t>19/2/2014</t>
  </si>
  <si>
    <t>20/2/2014</t>
  </si>
  <si>
    <t>21/2/2014</t>
  </si>
  <si>
    <t>22/2/2014</t>
  </si>
  <si>
    <t>23/2/2014</t>
  </si>
  <si>
    <t>24/2/2014</t>
  </si>
  <si>
    <t>25/2/2014</t>
  </si>
  <si>
    <t>26/2/2014</t>
  </si>
  <si>
    <t>27/2/2014</t>
  </si>
  <si>
    <t>28/2/2014</t>
  </si>
  <si>
    <t>1/3/2014</t>
  </si>
  <si>
    <t>2/3/2014</t>
  </si>
  <si>
    <t>3/3/2014</t>
  </si>
  <si>
    <t>4/3/2014</t>
  </si>
  <si>
    <t>5/3/2014</t>
  </si>
  <si>
    <t>6/3/2014</t>
  </si>
  <si>
    <t>7/3/2014</t>
  </si>
  <si>
    <t>8/3/2014</t>
  </si>
  <si>
    <t>9/3/2014</t>
  </si>
  <si>
    <t>10/3/2014</t>
  </si>
  <si>
    <t>11/3/2014</t>
  </si>
  <si>
    <t>12/3/2014</t>
  </si>
  <si>
    <t>13/3/2014</t>
  </si>
  <si>
    <t>14/3/2014</t>
  </si>
  <si>
    <t>15/3/2014</t>
  </si>
  <si>
    <t>16/3/2014</t>
  </si>
  <si>
    <t>17/3/2014</t>
  </si>
  <si>
    <t>18/3/2014</t>
  </si>
  <si>
    <t>19/3/2014</t>
  </si>
  <si>
    <t>20/3/2014</t>
  </si>
  <si>
    <t>21/3/2014</t>
  </si>
  <si>
    <t>22/3/2014</t>
  </si>
  <si>
    <t>23/3/2014</t>
  </si>
  <si>
    <t>24/3/2014</t>
  </si>
  <si>
    <t>25/3/2014</t>
  </si>
  <si>
    <t>26/3/2014</t>
  </si>
  <si>
    <t>27/3/2014</t>
  </si>
  <si>
    <t>28/3/2014</t>
  </si>
  <si>
    <t>29/3/2014</t>
  </si>
  <si>
    <t>30/3/2014</t>
  </si>
  <si>
    <t>31/3/2014</t>
  </si>
  <si>
    <t>1/4/2014</t>
  </si>
  <si>
    <t>2/4/2014</t>
  </si>
  <si>
    <t>3/4/2014</t>
  </si>
  <si>
    <t>4/4/2014</t>
  </si>
  <si>
    <t>5/4/2014</t>
  </si>
  <si>
    <t>6/4/2014</t>
  </si>
  <si>
    <t>7/4/2014</t>
  </si>
  <si>
    <t>8/4/2014</t>
  </si>
  <si>
    <t>9/4/2014</t>
  </si>
  <si>
    <t>10/4/2014</t>
  </si>
  <si>
    <t>11/4/2014</t>
  </si>
  <si>
    <t>12/4/2014</t>
  </si>
  <si>
    <t>13/4/2014</t>
  </si>
  <si>
    <t>14/4/2014</t>
  </si>
  <si>
    <t>15/4/2014</t>
  </si>
  <si>
    <t>16/4/2014</t>
  </si>
  <si>
    <t>17/4/2014</t>
  </si>
  <si>
    <t>18/4/2014</t>
  </si>
  <si>
    <t>19/4/2014</t>
  </si>
  <si>
    <t>20/4/2014</t>
  </si>
  <si>
    <t>21/4/2014</t>
  </si>
  <si>
    <t>22/4/2014</t>
  </si>
  <si>
    <t>23/4/2014</t>
  </si>
  <si>
    <t>24/4/2014</t>
  </si>
  <si>
    <t>25/4/2014</t>
  </si>
  <si>
    <t>26/4/2014</t>
  </si>
  <si>
    <t>27/4/2014</t>
  </si>
  <si>
    <t>28/4/2014</t>
  </si>
  <si>
    <t>29/4/2014</t>
  </si>
  <si>
    <t>30/4/2014</t>
  </si>
  <si>
    <t>1/5/2014</t>
  </si>
  <si>
    <t>2/5/2014</t>
  </si>
  <si>
    <t>3/5/2014</t>
  </si>
  <si>
    <t>4/5/2014</t>
  </si>
  <si>
    <t>5/5/2014</t>
  </si>
  <si>
    <t>6/5/2014</t>
  </si>
  <si>
    <t>7/5/2014</t>
  </si>
  <si>
    <t>8/5/2014</t>
  </si>
  <si>
    <t>9/5/2014</t>
  </si>
  <si>
    <t>10/5/2014</t>
  </si>
  <si>
    <t>11/5/2014</t>
  </si>
  <si>
    <t>12/5/2014</t>
  </si>
  <si>
    <t>13/5/2014</t>
  </si>
  <si>
    <t>14/5/2014</t>
  </si>
  <si>
    <t>15/5/2014</t>
  </si>
  <si>
    <t>16/5/2014</t>
  </si>
  <si>
    <t>17/5/2014</t>
  </si>
  <si>
    <t>18/5/2014</t>
  </si>
  <si>
    <t>19/5/2014</t>
  </si>
  <si>
    <t>20/5/2014</t>
  </si>
  <si>
    <t>21/5/2014</t>
  </si>
  <si>
    <t>22/5/2014</t>
  </si>
  <si>
    <t>23/5/2014</t>
  </si>
  <si>
    <t>24/5/2014</t>
  </si>
  <si>
    <t>25/5/2014</t>
  </si>
  <si>
    <t>26/5/2014</t>
  </si>
  <si>
    <t>27/5/2014</t>
  </si>
  <si>
    <t>28/5/2014</t>
  </si>
  <si>
    <t>29/5/2014</t>
  </si>
  <si>
    <t>30/5/2014</t>
  </si>
  <si>
    <t>31/5/2014</t>
  </si>
  <si>
    <t>1/6/2014</t>
  </si>
  <si>
    <t>2/6/2014</t>
  </si>
  <si>
    <t>3/6/2014</t>
  </si>
  <si>
    <t>4/6/2014</t>
  </si>
  <si>
    <t>5/6/2014</t>
  </si>
  <si>
    <t>6/6/2014</t>
  </si>
  <si>
    <t>7/6/2014</t>
  </si>
  <si>
    <t>8/6/2014</t>
  </si>
  <si>
    <t>9/6/2014</t>
  </si>
  <si>
    <t>10/6/2014</t>
  </si>
  <si>
    <t>11/6/2014</t>
  </si>
  <si>
    <t>12/6/2014</t>
  </si>
  <si>
    <t>13/6/2014</t>
  </si>
  <si>
    <t>14/6/2014</t>
  </si>
  <si>
    <t>15/6/2014</t>
  </si>
  <si>
    <t>16/6/2014</t>
  </si>
  <si>
    <t>17/6/2014</t>
  </si>
  <si>
    <t>18/6/2014</t>
  </si>
  <si>
    <t>19/6/2014</t>
  </si>
  <si>
    <t>20/6/2014</t>
  </si>
  <si>
    <t>21/6/2014</t>
  </si>
  <si>
    <t>22/6/2014</t>
  </si>
  <si>
    <t>23/6/2014</t>
  </si>
  <si>
    <t>24/6/2014</t>
  </si>
  <si>
    <t>25/6/2014</t>
  </si>
  <si>
    <t>26/6/2014</t>
  </si>
  <si>
    <t>27/6/2014</t>
  </si>
  <si>
    <t>28/6/2014</t>
  </si>
  <si>
    <t>29/6/2014</t>
  </si>
  <si>
    <t>30/6/2014</t>
  </si>
  <si>
    <t>1/7/2014</t>
  </si>
  <si>
    <t>2/7/2014</t>
  </si>
  <si>
    <t>3/7/2014</t>
  </si>
  <si>
    <t>4/7/2014</t>
  </si>
  <si>
    <t>5/7/2014</t>
  </si>
  <si>
    <t>6/7/2014</t>
  </si>
  <si>
    <t>7/7/2014</t>
  </si>
  <si>
    <t>8/7/2014</t>
  </si>
  <si>
    <t>9/7/2014</t>
  </si>
  <si>
    <t>10/7/2014</t>
  </si>
  <si>
    <t>11/7/2014</t>
  </si>
  <si>
    <t>12/7/2014</t>
  </si>
  <si>
    <t>13/7/2014</t>
  </si>
  <si>
    <t>14/7/2014</t>
  </si>
  <si>
    <t>15/7/2014</t>
  </si>
  <si>
    <t>16/7/2014</t>
  </si>
  <si>
    <t>17/7/2014</t>
  </si>
  <si>
    <t>18/7/2014</t>
  </si>
  <si>
    <t>19/7/2014</t>
  </si>
  <si>
    <t>20/7/2014</t>
  </si>
  <si>
    <t>21/7/2014</t>
  </si>
  <si>
    <t>22/7/2014</t>
  </si>
  <si>
    <t>23/7/2014</t>
  </si>
  <si>
    <t>24/7/2014</t>
  </si>
  <si>
    <t>25/7/2014</t>
  </si>
  <si>
    <t>26/7/2014</t>
  </si>
  <si>
    <t>27/7/2014</t>
  </si>
  <si>
    <t>28/7/2014</t>
  </si>
  <si>
    <t>29/7/2014</t>
  </si>
  <si>
    <t>30/7/2014</t>
  </si>
  <si>
    <t>31/7/2014</t>
  </si>
  <si>
    <t>1/8/2014</t>
  </si>
  <si>
    <t>2/8/2014</t>
  </si>
  <si>
    <t>3/8/2014</t>
  </si>
  <si>
    <t>4/8/2014</t>
  </si>
  <si>
    <t>5/8/2014</t>
  </si>
  <si>
    <t>6/8/2014</t>
  </si>
  <si>
    <t>7/8/2014</t>
  </si>
  <si>
    <t>8/8/2014</t>
  </si>
  <si>
    <t>9/8/2014</t>
  </si>
  <si>
    <t>10/8/2014</t>
  </si>
  <si>
    <t>11/8/2014</t>
  </si>
  <si>
    <t>12/8/2014</t>
  </si>
  <si>
    <t>13/8/2014</t>
  </si>
  <si>
    <t>14/8/2014</t>
  </si>
  <si>
    <t>15/8/2014</t>
  </si>
  <si>
    <t>16/8/2014</t>
  </si>
  <si>
    <t>17/8/2014</t>
  </si>
  <si>
    <t>18/8/2014</t>
  </si>
  <si>
    <t>19/8/2014</t>
  </si>
  <si>
    <t>20/8/2014</t>
  </si>
  <si>
    <t>21/8/2014</t>
  </si>
  <si>
    <t>22/8/2014</t>
  </si>
  <si>
    <t>23/8/2014</t>
  </si>
  <si>
    <t>24/8/2014</t>
  </si>
  <si>
    <t>25/8/2014</t>
  </si>
  <si>
    <t>26/8/2014</t>
  </si>
  <si>
    <t>27/8/2014</t>
  </si>
  <si>
    <t>28/8/2014</t>
  </si>
  <si>
    <t>29/8/2014</t>
  </si>
  <si>
    <t>30/8/2014</t>
  </si>
  <si>
    <t>31/8/2014</t>
  </si>
  <si>
    <t>1/9/2014</t>
  </si>
  <si>
    <t>2/9/2014</t>
  </si>
  <si>
    <t>3/9/2014</t>
  </si>
  <si>
    <t>4/9/2014</t>
  </si>
  <si>
    <t>5/9/2014</t>
  </si>
  <si>
    <t>6/9/2014</t>
  </si>
  <si>
    <t>7/9/2014</t>
  </si>
  <si>
    <t>8/9/2014</t>
  </si>
  <si>
    <t>9/9/2014</t>
  </si>
  <si>
    <t>10/9/2014</t>
  </si>
  <si>
    <t>11/9/2014</t>
  </si>
  <si>
    <t>12/9/2014</t>
  </si>
  <si>
    <t>13/9/2014</t>
  </si>
  <si>
    <t>14/9/2014</t>
  </si>
  <si>
    <t>15/9/2014</t>
  </si>
  <si>
    <t>16/9/2014</t>
  </si>
  <si>
    <t>17/9/2014</t>
  </si>
  <si>
    <t>18/9/2014</t>
  </si>
  <si>
    <t>19/9/2014</t>
  </si>
  <si>
    <t>20/9/2014</t>
  </si>
  <si>
    <t>21/9/2014</t>
  </si>
  <si>
    <t>22/9/2014</t>
  </si>
  <si>
    <t>23/9/2014</t>
  </si>
  <si>
    <t>24/9/2014</t>
  </si>
  <si>
    <t>25/9/2014</t>
  </si>
  <si>
    <t>26/9/2014</t>
  </si>
  <si>
    <t>27/9/2014</t>
  </si>
  <si>
    <t>28/9/2014</t>
  </si>
  <si>
    <t>29/9/2014</t>
  </si>
  <si>
    <t>30/9/2014</t>
  </si>
  <si>
    <t>1/10/2014</t>
  </si>
  <si>
    <t>2/10/2014</t>
  </si>
  <si>
    <t>3/10/2014</t>
  </si>
  <si>
    <t>4/10/2014</t>
  </si>
  <si>
    <t>5/10/2014</t>
  </si>
  <si>
    <t>6/10/2014</t>
  </si>
  <si>
    <t>7/10/2014</t>
  </si>
  <si>
    <t>8/10/2014</t>
  </si>
  <si>
    <t>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</si>
  <si>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</si>
  <si>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</si>
  <si>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</si>
  <si>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</si>
  <si>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</si>
  <si>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</si>
  <si>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</si>
  <si>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</si>
  <si>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</si>
  <si>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</si>
  <si>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</si>
  <si>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</si>
  <si>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</si>
  <si>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</si>
  <si>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</si>
  <si>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</si>
  <si>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</si>
  <si>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</si>
  <si>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</si>
  <si>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</si>
  <si>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</si>
  <si>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</si>
  <si>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1/11/2014</t>
  </si>
  <si>
    <t>2/11/2014</t>
  </si>
  <si>
    <t>3/11/2014</t>
  </si>
  <si>
    <t>4/11/2014</t>
  </si>
  <si>
    <t>5/11/2014</t>
  </si>
  <si>
    <t>6/11/2014</t>
  </si>
  <si>
    <t>7/11/2014</t>
  </si>
  <si>
    <t>8/11/2014</t>
  </si>
  <si>
    <t>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</si>
  <si>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</si>
  <si>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</si>
  <si>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</si>
  <si>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</si>
  <si>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</si>
  <si>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</si>
  <si>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</si>
  <si>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</si>
  <si>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</si>
  <si>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</si>
  <si>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</si>
  <si>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</si>
  <si>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</si>
  <si>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</si>
  <si>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</si>
  <si>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</si>
  <si>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</si>
  <si>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</si>
  <si>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</si>
  <si>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</si>
  <si>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</si>
  <si>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1/12/2014</t>
  </si>
  <si>
    <t>2/12/2014</t>
  </si>
  <si>
    <t>3/12/2014</t>
  </si>
  <si>
    <t>4/12/2014</t>
  </si>
  <si>
    <t>5/12/2014</t>
  </si>
  <si>
    <t>6/12/2014</t>
  </si>
  <si>
    <t>7/12/2014</t>
  </si>
  <si>
    <t>8/12/2014</t>
  </si>
  <si>
    <t>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</si>
  <si>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</si>
  <si>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</si>
  <si>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</si>
  <si>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</si>
  <si>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</si>
  <si>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</si>
  <si>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</si>
  <si>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</si>
  <si>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</si>
  <si>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</si>
  <si>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</si>
  <si>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</si>
  <si>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</si>
  <si>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</si>
  <si>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</si>
  <si>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</si>
  <si>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</si>
  <si>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</si>
  <si>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</si>
  <si>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</si>
  <si>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</si>
  <si>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</si>
  <si>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</si>
  <si>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</si>
  <si>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</si>
  <si>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</si>
  <si>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</si>
  <si>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</si>
  <si>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</si>
  <si>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</si>
  <si>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</si>
  <si>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</si>
  <si>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</si>
  <si>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</si>
  <si>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13/1/2015</t>
  </si>
  <si>
    <t>14/1/2015</t>
  </si>
  <si>
    <t>15/1/2015</t>
  </si>
  <si>
    <t>16/1/2015</t>
  </si>
  <si>
    <t>17/1/2015</t>
  </si>
  <si>
    <t>18/1/2015</t>
  </si>
  <si>
    <t>19/1/2015</t>
  </si>
  <si>
    <t>20/1/2015</t>
  </si>
  <si>
    <t>21/1/2015</t>
  </si>
  <si>
    <t>22/1/2015</t>
  </si>
  <si>
    <t>23/1/2015</t>
  </si>
  <si>
    <t>24/1/2015</t>
  </si>
  <si>
    <t>25/1/2015</t>
  </si>
  <si>
    <t>26/1/2015</t>
  </si>
  <si>
    <t>27/1/2015</t>
  </si>
  <si>
    <t>28/1/2015</t>
  </si>
  <si>
    <t>29/1/2015</t>
  </si>
  <si>
    <t>30/1/2015</t>
  </si>
  <si>
    <t>31/1/2015</t>
  </si>
  <si>
    <t>1/2/2015</t>
  </si>
  <si>
    <t>2/2/2015</t>
  </si>
  <si>
    <t>3/2/2015</t>
  </si>
  <si>
    <t>4/2/2015</t>
  </si>
  <si>
    <t>5/2/2015</t>
  </si>
  <si>
    <t>6/2/2015</t>
  </si>
  <si>
    <t>7/2/2015</t>
  </si>
  <si>
    <t>8/2/2015</t>
  </si>
  <si>
    <t>9/2/2015</t>
  </si>
  <si>
    <t>10/2/2015</t>
  </si>
  <si>
    <t>11/2/2015</t>
  </si>
  <si>
    <t>12/2/2015</t>
  </si>
  <si>
    <t>13/2/2015</t>
  </si>
  <si>
    <t>14/2/2015</t>
  </si>
  <si>
    <t>15/2/2015</t>
  </si>
  <si>
    <t>16/2/2015</t>
  </si>
  <si>
    <t>17/2/2015</t>
  </si>
  <si>
    <t>18/2/2015</t>
  </si>
  <si>
    <t>19/2/2015</t>
  </si>
  <si>
    <t>20/2/2015</t>
  </si>
  <si>
    <t>21/2/2015</t>
  </si>
  <si>
    <t>22/2/2015</t>
  </si>
  <si>
    <t>23/2/2015</t>
  </si>
  <si>
    <t>24/2/2015</t>
  </si>
  <si>
    <t>25/2/2015</t>
  </si>
  <si>
    <t>26/2/2015</t>
  </si>
  <si>
    <t>27/2/2015</t>
  </si>
  <si>
    <t>28/2/2015</t>
  </si>
  <si>
    <t>1/3/2015</t>
  </si>
  <si>
    <t>2/3/2015</t>
  </si>
  <si>
    <t>3/3/2015</t>
  </si>
  <si>
    <t>4/3/2015</t>
  </si>
  <si>
    <t>5/3/2015</t>
  </si>
  <si>
    <t>6/3/2015</t>
  </si>
  <si>
    <t>7/3/2015</t>
  </si>
  <si>
    <t>8/3/2015</t>
  </si>
  <si>
    <t>9/3/2015</t>
  </si>
  <si>
    <t>10/3/2015</t>
  </si>
  <si>
    <t>11/3/2015</t>
  </si>
  <si>
    <t>12/3/2015</t>
  </si>
  <si>
    <t>13/3/2015</t>
  </si>
  <si>
    <t>14/3/2015</t>
  </si>
  <si>
    <t>15/3/2015</t>
  </si>
  <si>
    <t>16/3/2015</t>
  </si>
  <si>
    <t>17/3/2015</t>
  </si>
  <si>
    <t>18/3/2015</t>
  </si>
  <si>
    <t>19/3/2015</t>
  </si>
  <si>
    <t>20/3/2015</t>
  </si>
  <si>
    <t>21/3/2015</t>
  </si>
  <si>
    <t>22/3/2015</t>
  </si>
  <si>
    <t>23/3/2015</t>
  </si>
  <si>
    <t>24/3/2015</t>
  </si>
  <si>
    <t>25/3/2015</t>
  </si>
  <si>
    <t>26/3/2015</t>
  </si>
  <si>
    <t>27/3/2015</t>
  </si>
  <si>
    <t>28/3/2015</t>
  </si>
  <si>
    <t>29/3/2015</t>
  </si>
  <si>
    <t>30/3/2015</t>
  </si>
  <si>
    <t>31/3/2015</t>
  </si>
  <si>
    <t>1/4/2015</t>
  </si>
  <si>
    <t>2/4/2015</t>
  </si>
  <si>
    <t>3/4/2015</t>
  </si>
  <si>
    <t>4/4/2015</t>
  </si>
  <si>
    <t>5/4/2015</t>
  </si>
  <si>
    <t>6/4/2015</t>
  </si>
  <si>
    <t>7/4/2015</t>
  </si>
  <si>
    <t>8/4/2015</t>
  </si>
  <si>
    <t>9/4/2015</t>
  </si>
  <si>
    <t>10/4/2015</t>
  </si>
  <si>
    <t>11/4/2015</t>
  </si>
  <si>
    <t>12/4/2015</t>
  </si>
  <si>
    <t>13/4/2015</t>
  </si>
  <si>
    <t>14/4/2015</t>
  </si>
  <si>
    <t>15/4/2015</t>
  </si>
  <si>
    <t>16/4/2015</t>
  </si>
  <si>
    <t>17/4/2015</t>
  </si>
  <si>
    <t>18/4/2015</t>
  </si>
  <si>
    <t>19/4/2015</t>
  </si>
  <si>
    <t>20/4/2015</t>
  </si>
  <si>
    <t>21/4/2015</t>
  </si>
  <si>
    <t>22/4/2015</t>
  </si>
  <si>
    <t>23/4/2015</t>
  </si>
  <si>
    <t>24/4/2015</t>
  </si>
  <si>
    <t>25/4/2015</t>
  </si>
  <si>
    <t>26/4/2015</t>
  </si>
  <si>
    <t>27/4/2015</t>
  </si>
  <si>
    <t>28/4/2015</t>
  </si>
  <si>
    <t>29/4/2015</t>
  </si>
  <si>
    <t>30/4/2015</t>
  </si>
  <si>
    <t>1/5/2015</t>
  </si>
  <si>
    <t>2/5/2015</t>
  </si>
  <si>
    <t>3/5/2015</t>
  </si>
  <si>
    <t>4/5/2015</t>
  </si>
  <si>
    <t>5/5/2015</t>
  </si>
  <si>
    <t>6/5/2015</t>
  </si>
  <si>
    <t>7/5/2015</t>
  </si>
  <si>
    <t>8/5/2015</t>
  </si>
  <si>
    <t>9/5/2015</t>
  </si>
  <si>
    <t>10/5/2015</t>
  </si>
  <si>
    <t>11/5/2015</t>
  </si>
  <si>
    <t>12/5/2015</t>
  </si>
  <si>
    <t>13/5/2015</t>
  </si>
  <si>
    <t>14/5/2015</t>
  </si>
  <si>
    <t>15/5/2015</t>
  </si>
  <si>
    <t>16/5/2015</t>
  </si>
  <si>
    <t>17/5/2015</t>
  </si>
  <si>
    <t>18/5/2015</t>
  </si>
  <si>
    <t>19/5/2015</t>
  </si>
  <si>
    <t>20/5/2015</t>
  </si>
  <si>
    <t>21/5/2015</t>
  </si>
  <si>
    <t>22/5/2015</t>
  </si>
  <si>
    <t>23/5/2015</t>
  </si>
  <si>
    <t>24/5/2015</t>
  </si>
  <si>
    <t>25/5/2015</t>
  </si>
  <si>
    <t>26/5/2015</t>
  </si>
  <si>
    <t>27/5/2015</t>
  </si>
  <si>
    <t>28/5/2015</t>
  </si>
  <si>
    <t>29/5/2015</t>
  </si>
  <si>
    <t>30/5/2015</t>
  </si>
  <si>
    <t>31/5/2015</t>
  </si>
  <si>
    <t>1/6/2015</t>
  </si>
  <si>
    <t>2/6/2015</t>
  </si>
  <si>
    <t>3/6/2015</t>
  </si>
  <si>
    <t>4/6/2015</t>
  </si>
  <si>
    <t>5/6/2015</t>
  </si>
  <si>
    <t>6/6/2015</t>
  </si>
  <si>
    <t>7/6/2015</t>
  </si>
  <si>
    <t>8/6/2015</t>
  </si>
  <si>
    <t>9/6/2015</t>
  </si>
  <si>
    <t>10/6/2015</t>
  </si>
  <si>
    <t>11/6/2015</t>
  </si>
  <si>
    <t>12/6/2015</t>
  </si>
  <si>
    <t>13/6/2015</t>
  </si>
  <si>
    <t>14/6/2015</t>
  </si>
  <si>
    <t>15/6/2015</t>
  </si>
  <si>
    <t>16/6/2015</t>
  </si>
  <si>
    <t>17/6/2015</t>
  </si>
  <si>
    <t>18/6/2015</t>
  </si>
  <si>
    <t>19/6/2015</t>
  </si>
  <si>
    <t>20/6/2015</t>
  </si>
  <si>
    <t>21/6/2015</t>
  </si>
  <si>
    <t>22/6/2015</t>
  </si>
  <si>
    <t>23/6/2015</t>
  </si>
  <si>
    <t>24/6/2015</t>
  </si>
  <si>
    <t>25/6/2015</t>
  </si>
  <si>
    <t>26/6/2015</t>
  </si>
  <si>
    <t>27/6/2015</t>
  </si>
  <si>
    <t>28/6/2015</t>
  </si>
  <si>
    <t>29/6/2015</t>
  </si>
  <si>
    <t>30/6/2015</t>
  </si>
  <si>
    <t>1/7/2015</t>
  </si>
  <si>
    <t>2/7/2015</t>
  </si>
  <si>
    <t>3/7/2015</t>
  </si>
  <si>
    <t>4/7/2015</t>
  </si>
  <si>
    <t>5/7/2015</t>
  </si>
  <si>
    <t>6/7/2015</t>
  </si>
  <si>
    <t>7/7/2015</t>
  </si>
  <si>
    <t>8/7/2015</t>
  </si>
  <si>
    <t>9/7/2015</t>
  </si>
  <si>
    <t>10/7/2015</t>
  </si>
  <si>
    <t>11/7/2015</t>
  </si>
  <si>
    <t>12/7/2015</t>
  </si>
  <si>
    <t>13/7/2015</t>
  </si>
  <si>
    <t>14/7/2015</t>
  </si>
  <si>
    <t>15/7/2015</t>
  </si>
  <si>
    <t>16/7/2015</t>
  </si>
  <si>
    <t>17/7/2015</t>
  </si>
  <si>
    <t>18/7/2015</t>
  </si>
  <si>
    <t>19/7/2015</t>
  </si>
  <si>
    <t>20/7/2015</t>
  </si>
  <si>
    <t>21/7/2015</t>
  </si>
  <si>
    <t>22/7/2015</t>
  </si>
  <si>
    <t>23/7/2015</t>
  </si>
  <si>
    <t>24/7/2015</t>
  </si>
  <si>
    <t>25/7/2015</t>
  </si>
  <si>
    <t>26/7/2015</t>
  </si>
  <si>
    <t>27/7/2015</t>
  </si>
  <si>
    <t>28/7/2015</t>
  </si>
  <si>
    <t>29/7/2015</t>
  </si>
  <si>
    <t>30/7/2015</t>
  </si>
  <si>
    <t>31/7/2015</t>
  </si>
  <si>
    <t>1/8/2015</t>
  </si>
  <si>
    <t>2/8/2015</t>
  </si>
  <si>
    <t>3/8/2015</t>
  </si>
  <si>
    <t>4/8/2015</t>
  </si>
  <si>
    <t>5/8/2015</t>
  </si>
  <si>
    <t>6/8/2015</t>
  </si>
  <si>
    <t>7/8/2015</t>
  </si>
  <si>
    <t>8/8/2015</t>
  </si>
  <si>
    <t>9/8/2015</t>
  </si>
  <si>
    <t>10/8/2015</t>
  </si>
  <si>
    <t>11/8/2015</t>
  </si>
  <si>
    <t>12/8/2015</t>
  </si>
  <si>
    <t>13/8/2015</t>
  </si>
  <si>
    <t>14/8/2015</t>
  </si>
  <si>
    <t>15/8/2015</t>
  </si>
  <si>
    <t>16/8/2015</t>
  </si>
  <si>
    <t>17/8/2015</t>
  </si>
  <si>
    <t>18/8/2015</t>
  </si>
  <si>
    <t>19/8/2015</t>
  </si>
  <si>
    <t>20/8/2015</t>
  </si>
  <si>
    <t>21/8/2015</t>
  </si>
  <si>
    <t>22/8/2015</t>
  </si>
  <si>
    <t>23/8/2015</t>
  </si>
  <si>
    <t>24/8/2015</t>
  </si>
  <si>
    <t>25/8/2015</t>
  </si>
  <si>
    <t>26/8/2015</t>
  </si>
  <si>
    <t>27/8/2015</t>
  </si>
  <si>
    <t>28/8/2015</t>
  </si>
  <si>
    <t>29/8/2015</t>
  </si>
  <si>
    <t>30/8/2015</t>
  </si>
  <si>
    <t>31/8/2015</t>
  </si>
  <si>
    <t>1/9/2015</t>
  </si>
  <si>
    <t>2/9/2015</t>
  </si>
  <si>
    <t>3/9/2015</t>
  </si>
  <si>
    <t>4/9/2015</t>
  </si>
  <si>
    <t>5/9/2015</t>
  </si>
  <si>
    <t>6/9/2015</t>
  </si>
  <si>
    <t>7/9/2015</t>
  </si>
  <si>
    <t>8/9/2015</t>
  </si>
  <si>
    <t>9/9/2015</t>
  </si>
  <si>
    <t>10/9/2015</t>
  </si>
  <si>
    <t>11/9/2015</t>
  </si>
  <si>
    <t>12/9/2015</t>
  </si>
  <si>
    <t>13/9/2015</t>
  </si>
  <si>
    <t>14/9/2015</t>
  </si>
  <si>
    <t>15/9/2015</t>
  </si>
  <si>
    <t>16/9/2015</t>
  </si>
  <si>
    <t>17/9/2015</t>
  </si>
  <si>
    <t>18/9/2015</t>
  </si>
  <si>
    <t>19/9/2015</t>
  </si>
  <si>
    <t>20/9/2015</t>
  </si>
  <si>
    <t>21/9/2015</t>
  </si>
  <si>
    <t>22/9/2015</t>
  </si>
  <si>
    <t>23/9/2015</t>
  </si>
  <si>
    <t>24/9/2015</t>
  </si>
  <si>
    <t>25/9/2015</t>
  </si>
  <si>
    <t>26/9/2015</t>
  </si>
  <si>
    <t>27/9/2015</t>
  </si>
  <si>
    <t>28/9/2015</t>
  </si>
  <si>
    <t>29/9/2015</t>
  </si>
  <si>
    <t>30/9/2015</t>
  </si>
  <si>
    <t>1/10/2015</t>
  </si>
  <si>
    <t>2/10/2015</t>
  </si>
  <si>
    <t>3/10/2015</t>
  </si>
  <si>
    <t>4/10/2015</t>
  </si>
  <si>
    <t>5/10/2015</t>
  </si>
  <si>
    <t>6/10/2015</t>
  </si>
  <si>
    <t>7/10/2015</t>
  </si>
  <si>
    <t>8/10/2015</t>
  </si>
  <si>
    <t>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</si>
  <si>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</si>
  <si>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</si>
  <si>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</si>
  <si>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</si>
  <si>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</si>
  <si>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</si>
  <si>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</si>
  <si>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</si>
  <si>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</si>
  <si>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</si>
  <si>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</si>
  <si>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</si>
  <si>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</si>
  <si>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</si>
  <si>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</si>
  <si>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</si>
  <si>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</si>
  <si>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</si>
  <si>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</si>
  <si>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</si>
  <si>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</si>
  <si>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</si>
  <si>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1/11/2015</t>
  </si>
  <si>
    <t>2/11/2015</t>
  </si>
  <si>
    <t>3/11/2015</t>
  </si>
  <si>
    <t>4/11/2015</t>
  </si>
  <si>
    <t>5/11/2015</t>
  </si>
  <si>
    <t>6/11/2015</t>
  </si>
  <si>
    <t>7/11/2015</t>
  </si>
  <si>
    <t>8/11/2015</t>
  </si>
  <si>
    <t>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</si>
  <si>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</si>
  <si>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</si>
  <si>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</si>
  <si>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</si>
  <si>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</si>
  <si>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</si>
  <si>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</si>
  <si>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</si>
  <si>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</si>
  <si>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</si>
  <si>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</si>
  <si>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</si>
  <si>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</si>
  <si>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</si>
  <si>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</si>
  <si>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</si>
  <si>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</si>
  <si>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</si>
  <si>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</si>
  <si>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</si>
  <si>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</si>
  <si>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1/12/2015</t>
  </si>
  <si>
    <t>2/12/2015</t>
  </si>
  <si>
    <t>3/12/2015</t>
  </si>
  <si>
    <t>4/12/2015</t>
  </si>
  <si>
    <t>5/12/2015</t>
  </si>
  <si>
    <t>6/12/2015</t>
  </si>
  <si>
    <t>7/12/2015</t>
  </si>
  <si>
    <t>8/12/2015</t>
  </si>
  <si>
    <t>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</si>
  <si>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</si>
  <si>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</si>
  <si>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</si>
  <si>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</si>
  <si>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</si>
  <si>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</si>
  <si>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</si>
  <si>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</si>
  <si>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</si>
  <si>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</si>
  <si>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</si>
  <si>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</si>
  <si>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</si>
  <si>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</si>
  <si>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</si>
  <si>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</si>
  <si>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</si>
  <si>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</si>
  <si>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</si>
  <si>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</si>
  <si>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</si>
  <si>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</si>
  <si>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</si>
  <si>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</si>
  <si>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</si>
  <si>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</si>
  <si>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</si>
  <si>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</si>
  <si>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</si>
  <si>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</si>
  <si>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</si>
  <si>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</si>
  <si>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</si>
  <si>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</si>
  <si>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13/1/2016</t>
  </si>
  <si>
    <t>14/1/2016</t>
  </si>
  <si>
    <t>15/1/2016</t>
  </si>
  <si>
    <t>16/1/2016</t>
  </si>
  <si>
    <t>17/1/2016</t>
  </si>
  <si>
    <t>18/1/2016</t>
  </si>
  <si>
    <t>19/1/2016</t>
  </si>
  <si>
    <t>20/1/2016</t>
  </si>
  <si>
    <t>21/1/2016</t>
  </si>
  <si>
    <t>22/1/2016</t>
  </si>
  <si>
    <t>23/1/2016</t>
  </si>
  <si>
    <t>24/1/2016</t>
  </si>
  <si>
    <t>25/1/2016</t>
  </si>
  <si>
    <t>26/1/2016</t>
  </si>
  <si>
    <t>27/1/2016</t>
  </si>
  <si>
    <t>28/1/2016</t>
  </si>
  <si>
    <t>29/1/2016</t>
  </si>
  <si>
    <t>30/1/2016</t>
  </si>
  <si>
    <t>31/1/2016</t>
  </si>
  <si>
    <t>1/2/2016</t>
  </si>
  <si>
    <t>2/2/2016</t>
  </si>
  <si>
    <t>3/2/2016</t>
  </si>
  <si>
    <t>4/2/2016</t>
  </si>
  <si>
    <t>5/2/2016</t>
  </si>
  <si>
    <t>6/2/2016</t>
  </si>
  <si>
    <t>7/2/2016</t>
  </si>
  <si>
    <t>8/2/2016</t>
  </si>
  <si>
    <t>9/2/2016</t>
  </si>
  <si>
    <t>10/2/2016</t>
  </si>
  <si>
    <t>11/2/2016</t>
  </si>
  <si>
    <t>12/2/2016</t>
  </si>
  <si>
    <t>13/2/2016</t>
  </si>
  <si>
    <t>14/2/2016</t>
  </si>
  <si>
    <t>15/2/2016</t>
  </si>
  <si>
    <t>16/2/2016</t>
  </si>
  <si>
    <t>17/2/2016</t>
  </si>
  <si>
    <t>18/2/2016</t>
  </si>
  <si>
    <t>19/2/2016</t>
  </si>
  <si>
    <t>20/2/2016</t>
  </si>
  <si>
    <t>21/2/2016</t>
  </si>
  <si>
    <t>22/2/2016</t>
  </si>
  <si>
    <t>23/2/2016</t>
  </si>
  <si>
    <t>24/2/2016</t>
  </si>
  <si>
    <t>25/2/2016</t>
  </si>
  <si>
    <t>26/2/2016</t>
  </si>
  <si>
    <t>27/2/2016</t>
  </si>
  <si>
    <t>28/2/2016</t>
  </si>
  <si>
    <t>29/2/2016</t>
  </si>
  <si>
    <t>1/3/2016</t>
  </si>
  <si>
    <t>2/3/2016</t>
  </si>
  <si>
    <t>3/3/2016</t>
  </si>
  <si>
    <t>4/3/2016</t>
  </si>
  <si>
    <t>5/3/2016</t>
  </si>
  <si>
    <t>6/3/2016</t>
  </si>
  <si>
    <t>7/3/2016</t>
  </si>
  <si>
    <t>8/3/2016</t>
  </si>
  <si>
    <t>9/3/2016</t>
  </si>
  <si>
    <t>10/3/2016</t>
  </si>
  <si>
    <t>11/3/2016</t>
  </si>
  <si>
    <t>12/3/2016</t>
  </si>
  <si>
    <t>13/3/2016</t>
  </si>
  <si>
    <t>14/3/2016</t>
  </si>
  <si>
    <t>15/3/2016</t>
  </si>
  <si>
    <t>16/3/2016</t>
  </si>
  <si>
    <t>17/3/2016</t>
  </si>
  <si>
    <t>18/3/2016</t>
  </si>
  <si>
    <t>19/3/2016</t>
  </si>
  <si>
    <t>20/3/2016</t>
  </si>
  <si>
    <t>21/3/2016</t>
  </si>
  <si>
    <t>22/3/2016</t>
  </si>
  <si>
    <t>23/3/2016</t>
  </si>
  <si>
    <t>24/3/2016</t>
  </si>
  <si>
    <t>25/3/2016</t>
  </si>
  <si>
    <t>26/3/2016</t>
  </si>
  <si>
    <t>27/3/2016</t>
  </si>
  <si>
    <t>28/3/2016</t>
  </si>
  <si>
    <t>29/3/2016</t>
  </si>
  <si>
    <t>30/3/2016</t>
  </si>
  <si>
    <t>31/3/2016</t>
  </si>
  <si>
    <t>1/4/2016</t>
  </si>
  <si>
    <t>2/4/2016</t>
  </si>
  <si>
    <t>3/4/2016</t>
  </si>
  <si>
    <t>4/4/2016</t>
  </si>
  <si>
    <t>5/4/2016</t>
  </si>
  <si>
    <t>6/4/2016</t>
  </si>
  <si>
    <t>7/4/2016</t>
  </si>
  <si>
    <t>8/4/2016</t>
  </si>
  <si>
    <t>9/4/2016</t>
  </si>
  <si>
    <t>10/4/2016</t>
  </si>
  <si>
    <t>11/4/2016</t>
  </si>
  <si>
    <t>12/4/2016</t>
  </si>
  <si>
    <t>13/4/2016</t>
  </si>
  <si>
    <t>14/4/2016</t>
  </si>
  <si>
    <t>15/4/2016</t>
  </si>
  <si>
    <t>16/4/2016</t>
  </si>
  <si>
    <t>17/4/2016</t>
  </si>
  <si>
    <t>18/4/2016</t>
  </si>
  <si>
    <t>19/4/2016</t>
  </si>
  <si>
    <t>20/4/2016</t>
  </si>
  <si>
    <t>21/4/2016</t>
  </si>
  <si>
    <t>22/4/2016</t>
  </si>
  <si>
    <t>23/4/2016</t>
  </si>
  <si>
    <t>24/4/2016</t>
  </si>
  <si>
    <t>25/4/2016</t>
  </si>
  <si>
    <t>26/4/2016</t>
  </si>
  <si>
    <t>27/4/2016</t>
  </si>
  <si>
    <t>28/4/2016</t>
  </si>
  <si>
    <t>29/4/2016</t>
  </si>
  <si>
    <t>30/4/2016</t>
  </si>
  <si>
    <t>1/5/2016</t>
  </si>
  <si>
    <t>2/5/2016</t>
  </si>
  <si>
    <t>3/5/2016</t>
  </si>
  <si>
    <t>4/5/2016</t>
  </si>
  <si>
    <t>5/5/2016</t>
  </si>
  <si>
    <t>6/5/2016</t>
  </si>
  <si>
    <t>7/5/2016</t>
  </si>
  <si>
    <t>8/5/2016</t>
  </si>
  <si>
    <t>9/5/2016</t>
  </si>
  <si>
    <t>10/5/2016</t>
  </si>
  <si>
    <t>11/5/2016</t>
  </si>
  <si>
    <t>12/5/2016</t>
  </si>
  <si>
    <t>13/5/2016</t>
  </si>
  <si>
    <t>14/5/2016</t>
  </si>
  <si>
    <t>15/5/2016</t>
  </si>
  <si>
    <t>16/5/2016</t>
  </si>
  <si>
    <t>17/5/2016</t>
  </si>
  <si>
    <t>18/5/2016</t>
  </si>
  <si>
    <t>19/5/2016</t>
  </si>
  <si>
    <t>20/5/2016</t>
  </si>
  <si>
    <t>21/5/2016</t>
  </si>
  <si>
    <t>22/5/2016</t>
  </si>
  <si>
    <t>23/5/2016</t>
  </si>
  <si>
    <t>24/5/2016</t>
  </si>
  <si>
    <t>25/5/2016</t>
  </si>
  <si>
    <t>26/5/2016</t>
  </si>
  <si>
    <t>27/5/2016</t>
  </si>
  <si>
    <t>28/5/2016</t>
  </si>
  <si>
    <t>29/5/2016</t>
  </si>
  <si>
    <t>30/5/2016</t>
  </si>
  <si>
    <t>31/5/2016</t>
  </si>
  <si>
    <t>1/6/2016</t>
  </si>
  <si>
    <t>2/6/2016</t>
  </si>
  <si>
    <t>3/6/2016</t>
  </si>
  <si>
    <t>4/6/2016</t>
  </si>
  <si>
    <t>5/6/2016</t>
  </si>
  <si>
    <t>6/6/2016</t>
  </si>
  <si>
    <t>7/6/2016</t>
  </si>
  <si>
    <t>8/6/2016</t>
  </si>
  <si>
    <t>9/6/2016</t>
  </si>
  <si>
    <t>10/6/2016</t>
  </si>
  <si>
    <t>11/6/2016</t>
  </si>
  <si>
    <t>12/6/2016</t>
  </si>
  <si>
    <t>13/6/2016</t>
  </si>
  <si>
    <t>14/6/2016</t>
  </si>
  <si>
    <t>15/6/2016</t>
  </si>
  <si>
    <t>16/6/2016</t>
  </si>
  <si>
    <t>17/6/2016</t>
  </si>
  <si>
    <t>18/6/2016</t>
  </si>
  <si>
    <t>19/6/2016</t>
  </si>
  <si>
    <t>20/6/2016</t>
  </si>
  <si>
    <t>21/6/2016</t>
  </si>
  <si>
    <t>22/6/2016</t>
  </si>
  <si>
    <t>23/6/2016</t>
  </si>
  <si>
    <t>24/6/2016</t>
  </si>
  <si>
    <t>25/6/2016</t>
  </si>
  <si>
    <t>26/6/2016</t>
  </si>
  <si>
    <t>27/6/2016</t>
  </si>
  <si>
    <t>28/6/2016</t>
  </si>
  <si>
    <t>29/6/2016</t>
  </si>
  <si>
    <t>30/6/2016</t>
  </si>
  <si>
    <t>1/7/2016</t>
  </si>
  <si>
    <t>2/7/2016</t>
  </si>
  <si>
    <t>3/7/2016</t>
  </si>
  <si>
    <t>4/7/2016</t>
  </si>
  <si>
    <t>5/7/2016</t>
  </si>
  <si>
    <t>6/7/2016</t>
  </si>
  <si>
    <t>7/7/2016</t>
  </si>
  <si>
    <t>8/7/2016</t>
  </si>
  <si>
    <t>9/7/2016</t>
  </si>
  <si>
    <t>10/7/2016</t>
  </si>
  <si>
    <t>11/7/2016</t>
  </si>
  <si>
    <t>12/7/2016</t>
  </si>
  <si>
    <t>13/7/2016</t>
  </si>
  <si>
    <t>14/7/2016</t>
  </si>
  <si>
    <t>15/7/2016</t>
  </si>
  <si>
    <t>16/7/2016</t>
  </si>
  <si>
    <t>17/7/2016</t>
  </si>
  <si>
    <t>18/7/2016</t>
  </si>
  <si>
    <t>19/7/2016</t>
  </si>
  <si>
    <t>20/7/2016</t>
  </si>
  <si>
    <t>21/7/2016</t>
  </si>
  <si>
    <t>22/7/2016</t>
  </si>
  <si>
    <t>23/7/2016</t>
  </si>
  <si>
    <t>24/7/2016</t>
  </si>
  <si>
    <t>25/7/2016</t>
  </si>
  <si>
    <t>26/7/2016</t>
  </si>
  <si>
    <t>27/7/2016</t>
  </si>
  <si>
    <t>28/7/2016</t>
  </si>
  <si>
    <t>29/7/2016</t>
  </si>
  <si>
    <t>30/7/2016</t>
  </si>
  <si>
    <t>31/7/2016</t>
  </si>
  <si>
    <t>1/8/2016</t>
  </si>
  <si>
    <t>2/8/2016</t>
  </si>
  <si>
    <t>3/8/2016</t>
  </si>
  <si>
    <t>4/8/2016</t>
  </si>
  <si>
    <t>5/8/2016</t>
  </si>
  <si>
    <t>6/8/2016</t>
  </si>
  <si>
    <t>7/8/2016</t>
  </si>
  <si>
    <t>8/8/2016</t>
  </si>
  <si>
    <t>9/8/2016</t>
  </si>
  <si>
    <t>10/8/2016</t>
  </si>
  <si>
    <t>11/8/2016</t>
  </si>
  <si>
    <t>12/8/2016</t>
  </si>
  <si>
    <t>13/8/2016</t>
  </si>
  <si>
    <t>14/8/2016</t>
  </si>
  <si>
    <t>15/8/2016</t>
  </si>
  <si>
    <t>16/8/2016</t>
  </si>
  <si>
    <t>17/8/2016</t>
  </si>
  <si>
    <t>18/8/2016</t>
  </si>
  <si>
    <t>19/8/2016</t>
  </si>
  <si>
    <t>20/8/2016</t>
  </si>
  <si>
    <t>21/8/2016</t>
  </si>
  <si>
    <t>22/8/2016</t>
  </si>
  <si>
    <t>23/8/2016</t>
  </si>
  <si>
    <t>24/8/2016</t>
  </si>
  <si>
    <t>25/8/2016</t>
  </si>
  <si>
    <t>26/8/2016</t>
  </si>
  <si>
    <t>27/8/2016</t>
  </si>
  <si>
    <t>28/8/2016</t>
  </si>
  <si>
    <t>29/8/2016</t>
  </si>
  <si>
    <t>30/8/2016</t>
  </si>
  <si>
    <t>31/8/2016</t>
  </si>
  <si>
    <t>1/9/2016</t>
  </si>
  <si>
    <t>2/9/2016</t>
  </si>
  <si>
    <t>3/9/2016</t>
  </si>
  <si>
    <t>4/9/2016</t>
  </si>
  <si>
    <t>5/9/2016</t>
  </si>
  <si>
    <t>6/9/2016</t>
  </si>
  <si>
    <t>7/9/2016</t>
  </si>
  <si>
    <t>8/9/2016</t>
  </si>
  <si>
    <t>9/9/2016</t>
  </si>
  <si>
    <t>10/9/2016</t>
  </si>
  <si>
    <t>11/9/2016</t>
  </si>
  <si>
    <t>12/9/2016</t>
  </si>
  <si>
    <t>13/9/2016</t>
  </si>
  <si>
    <t>14/9/2016</t>
  </si>
  <si>
    <t>15/9/2016</t>
  </si>
  <si>
    <t>16/9/2016</t>
  </si>
  <si>
    <t>17/9/2016</t>
  </si>
  <si>
    <t>18/9/2016</t>
  </si>
  <si>
    <t>19/9/2016</t>
  </si>
  <si>
    <t>20/9/2016</t>
  </si>
  <si>
    <t>21/9/2016</t>
  </si>
  <si>
    <t>22/9/2016</t>
  </si>
  <si>
    <t>23/9/2016</t>
  </si>
  <si>
    <t>24/9/2016</t>
  </si>
  <si>
    <t>25/9/2016</t>
  </si>
  <si>
    <t>26/9/2016</t>
  </si>
  <si>
    <t>27/9/2016</t>
  </si>
  <si>
    <t>28/9/2016</t>
  </si>
  <si>
    <t>29/9/2016</t>
  </si>
  <si>
    <t>30/9/2016</t>
  </si>
  <si>
    <t>1/10/2016</t>
  </si>
  <si>
    <t>2/10/2016</t>
  </si>
  <si>
    <t>3/10/2016</t>
  </si>
  <si>
    <t>4/10/2016</t>
  </si>
  <si>
    <t>5/10/2016</t>
  </si>
  <si>
    <t>6/10/2016</t>
  </si>
  <si>
    <t>7/10/2016</t>
  </si>
  <si>
    <t>8/10/2016</t>
  </si>
  <si>
    <t>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</si>
  <si>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</si>
  <si>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</si>
  <si>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</si>
  <si>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</si>
  <si>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</si>
  <si>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</si>
  <si>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</si>
  <si>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</si>
  <si>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</si>
  <si>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</si>
  <si>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</si>
  <si>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</si>
  <si>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</si>
  <si>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</si>
  <si>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</si>
  <si>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</si>
  <si>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</si>
  <si>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</si>
  <si>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</si>
  <si>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</si>
  <si>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</si>
  <si>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</si>
  <si>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1/11/2016</t>
  </si>
  <si>
    <t>2/11/2016</t>
  </si>
  <si>
    <t>3/11/2016</t>
  </si>
  <si>
    <t>4/11/2016</t>
  </si>
  <si>
    <t>5/11/2016</t>
  </si>
  <si>
    <t>6/11/2016</t>
  </si>
  <si>
    <t>7/11/2016</t>
  </si>
  <si>
    <t>8/11/2016</t>
  </si>
  <si>
    <t>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</si>
  <si>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</si>
  <si>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</si>
  <si>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</si>
  <si>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</si>
  <si>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</si>
  <si>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</si>
  <si>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</si>
  <si>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Row Labels</t>
  </si>
  <si>
    <t>Grand Total</t>
  </si>
  <si>
    <t>Average of Sales</t>
  </si>
  <si>
    <t>Daily sales price per unit</t>
  </si>
  <si>
    <t>Gross Profit</t>
  </si>
  <si>
    <t>% Gross Profit</t>
  </si>
  <si>
    <t>Daily Gross 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</si>
</sst>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(2).xlsx]Price Elasticity of Demand!PivotTable5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</a:t>
            </a:r>
          </a:p>
          <a:p>
            <a:pPr>
              <a:defRPr/>
            </a:pPr>
            <a:r>
              <a:rPr lang="en-ZA"/>
              <a:t>Price Elasticity of Demand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Elasticity of Demand'!$B$3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'Price Elasticity of Demand'!$A$4:$A$7</c:f>
              <c:strCache>
                <c:ptCount val="3"/>
                <c:pt idx="0">
                  <c:v>1/2/2014</c:v>
                </c:pt>
                <c:pt idx="1">
                  <c:v>1/3/2014</c:v>
                </c:pt>
                <c:pt idx="2">
                  <c:v>1/4/2014</c:v>
                </c:pt>
              </c:strCache>
            </c:strRef>
          </c:cat>
          <c:val>
            <c:numRef>
              <c:f>'Price Elasticity of Demand'!$B$4:$B$7</c:f>
              <c:numCache>
                <c:formatCode>General</c:formatCode>
                <c:ptCount val="3"/>
                <c:pt idx="0">
                  <c:v>181209.12849999999</c:v>
                </c:pt>
                <c:pt idx="1">
                  <c:v>846678.38820000004</c:v>
                </c:pt>
                <c:pt idx="2">
                  <c:v>244535.2052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E-4604-813F-89B47EA47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803935"/>
        <c:axId val="1714813535"/>
      </c:lineChart>
      <c:catAx>
        <c:axId val="17148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13535"/>
        <c:crosses val="autoZero"/>
        <c:auto val="1"/>
        <c:lblAlgn val="ctr"/>
        <c:lblOffset val="100"/>
        <c:noMultiLvlLbl val="0"/>
      </c:catAx>
      <c:valAx>
        <c:axId val="17148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0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185736</xdr:rowOff>
    </xdr:from>
    <xdr:to>
      <xdr:col>13</xdr:col>
      <xdr:colOff>247650</xdr:colOff>
      <xdr:row>20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6778A-910A-8FB6-76D4-4EC6420B3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isa Dlamini" refreshedDate="45986.9450119213" createdVersion="8" refreshedVersion="8" minRefreshableVersion="3" recordCount="1053" xr:uid="{2A9CC129-D982-4BB2-AF48-87C4EFC013F8}">
  <cacheSource type="worksheet">
    <worksheetSource ref="A1:H1054" sheet="Sales Case Study (2)"/>
  </cacheSource>
  <cacheFields count="8">
    <cacheField name="Date" numFmtId="0">
      <sharedItems count="1053">
        <s v="30/12/2013"/>
        <s v="31/12/2013"/>
        <s v="1/1/2014"/>
        <s v="2/1/2014"/>
        <s v="3/1/2014"/>
        <s v="4/1/2014"/>
        <s v="5/1/2014"/>
        <s v="6/1/2014"/>
        <s v="7/1/2014"/>
        <s v="8/1/2014"/>
        <s v="9/1/2014"/>
        <s v="10/1/2014"/>
        <s v="11/1/2014"/>
        <s v="12/1/2014"/>
        <s v="13/1/2014"/>
        <s v="14/1/2014"/>
        <s v="15/1/2014"/>
        <s v="16/1/2014"/>
        <s v="17/1/2014"/>
        <s v="18/1/2014"/>
        <s v="19/1/2014"/>
        <s v="20/1/2014"/>
        <s v="21/1/2014"/>
        <s v="22/1/2014"/>
        <s v="23/1/2014"/>
        <s v="24/1/2014"/>
        <s v="25/1/2014"/>
        <s v="26/1/2014"/>
        <s v="27/1/2014"/>
        <s v="28/1/2014"/>
        <s v="29/1/2014"/>
        <s v="30/1/2014"/>
        <s v="31/1/2014"/>
        <s v="1/2/2014"/>
        <s v="2/2/2014"/>
        <s v="3/2/2014"/>
        <s v="4/2/2014"/>
        <s v="5/2/2014"/>
        <s v="6/2/2014"/>
        <s v="7/2/2014"/>
        <s v="8/2/2014"/>
        <s v="9/2/2014"/>
        <s v="10/2/2014"/>
        <s v="11/2/2014"/>
        <s v="12/2/2014"/>
        <s v="13/2/2014"/>
        <s v="14/2/2014"/>
        <s v="15/2/2014"/>
        <s v="16/2/2014"/>
        <s v="17/2/2014"/>
        <s v="18/2/2014"/>
        <s v="19/2/2014"/>
        <s v="20/2/2014"/>
        <s v="21/2/2014"/>
        <s v="22/2/2014"/>
        <s v="23/2/2014"/>
        <s v="24/2/2014"/>
        <s v="25/2/2014"/>
        <s v="26/2/2014"/>
        <s v="27/2/2014"/>
        <s v="28/2/2014"/>
        <s v="1/3/2014"/>
        <s v="2/3/2014"/>
        <s v="3/3/2014"/>
        <s v="4/3/2014"/>
        <s v="5/3/2014"/>
        <s v="6/3/2014"/>
        <s v="7/3/2014"/>
        <s v="8/3/2014"/>
        <s v="9/3/2014"/>
        <s v="10/3/2014"/>
        <s v="11/3/2014"/>
        <s v="12/3/2014"/>
        <s v="13/3/2014"/>
        <s v="14/3/2014"/>
        <s v="15/3/2014"/>
        <s v="16/3/2014"/>
        <s v="17/3/2014"/>
        <s v="18/3/2014"/>
        <s v="19/3/2014"/>
        <s v="20/3/2014"/>
        <s v="21/3/2014"/>
        <s v="22/3/2014"/>
        <s v="23/3/2014"/>
        <s v="24/3/2014"/>
        <s v="25/3/2014"/>
        <s v="26/3/2014"/>
        <s v="27/3/2014"/>
        <s v="28/3/2014"/>
        <s v="29/3/2014"/>
        <s v="30/3/2014"/>
        <s v="31/3/2014"/>
        <s v="1/4/2014"/>
        <s v="2/4/2014"/>
        <s v="3/4/2014"/>
        <s v="4/4/2014"/>
        <s v="5/4/2014"/>
        <s v="6/4/2014"/>
        <s v="7/4/2014"/>
        <s v="8/4/2014"/>
        <s v="9/4/2014"/>
        <s v="10/4/2014"/>
        <s v="11/4/2014"/>
        <s v="12/4/2014"/>
        <s v="13/4/2014"/>
        <s v="14/4/2014"/>
        <s v="15/4/2014"/>
        <s v="16/4/2014"/>
        <s v="17/4/2014"/>
        <s v="18/4/2014"/>
        <s v="19/4/2014"/>
        <s v="20/4/2014"/>
        <s v="21/4/2014"/>
        <s v="22/4/2014"/>
        <s v="23/4/2014"/>
        <s v="24/4/2014"/>
        <s v="25/4/2014"/>
        <s v="26/4/2014"/>
        <s v="27/4/2014"/>
        <s v="28/4/2014"/>
        <s v="29/4/2014"/>
        <s v="30/4/2014"/>
        <s v="1/5/2014"/>
        <s v="2/5/2014"/>
        <s v="3/5/2014"/>
        <s v="4/5/2014"/>
        <s v="5/5/2014"/>
        <s v="6/5/2014"/>
        <s v="7/5/2014"/>
        <s v="8/5/2014"/>
        <s v="9/5/2014"/>
        <s v="10/5/2014"/>
        <s v="11/5/2014"/>
        <s v="12/5/2014"/>
        <s v="13/5/2014"/>
        <s v="14/5/2014"/>
        <s v="15/5/2014"/>
        <s v="16/5/2014"/>
        <s v="17/5/2014"/>
        <s v="18/5/2014"/>
        <s v="19/5/2014"/>
        <s v="20/5/2014"/>
        <s v="21/5/2014"/>
        <s v="22/5/2014"/>
        <s v="23/5/2014"/>
        <s v="24/5/2014"/>
        <s v="25/5/2014"/>
        <s v="26/5/2014"/>
        <s v="27/5/2014"/>
        <s v="28/5/2014"/>
        <s v="29/5/2014"/>
        <s v="30/5/2014"/>
        <s v="31/5/2014"/>
        <s v="1/6/2014"/>
        <s v="2/6/2014"/>
        <s v="3/6/2014"/>
        <s v="4/6/2014"/>
        <s v="5/6/2014"/>
        <s v="6/6/2014"/>
        <s v="7/6/2014"/>
        <s v="8/6/2014"/>
        <s v="9/6/2014"/>
        <s v="10/6/2014"/>
        <s v="11/6/2014"/>
        <s v="12/6/2014"/>
        <s v="13/6/2014"/>
        <s v="14/6/2014"/>
        <s v="15/6/2014"/>
        <s v="16/6/2014"/>
        <s v="17/6/2014"/>
        <s v="18/6/2014"/>
        <s v="19/6/2014"/>
        <s v="20/6/2014"/>
        <s v="21/6/2014"/>
        <s v="22/6/2014"/>
        <s v="23/6/2014"/>
        <s v="24/6/2014"/>
        <s v="25/6/2014"/>
        <s v="26/6/2014"/>
        <s v="27/6/2014"/>
        <s v="28/6/2014"/>
        <s v="29/6/2014"/>
        <s v="30/6/2014"/>
        <s v="1/7/2014"/>
        <s v="2/7/2014"/>
        <s v="3/7/2014"/>
        <s v="4/7/2014"/>
        <s v="5/7/2014"/>
        <s v="6/7/2014"/>
        <s v="7/7/2014"/>
        <s v="8/7/2014"/>
        <s v="9/7/2014"/>
        <s v="10/7/2014"/>
        <s v="11/7/2014"/>
        <s v="12/7/2014"/>
        <s v="13/7/2014"/>
        <s v="14/7/2014"/>
        <s v="15/7/2014"/>
        <s v="16/7/2014"/>
        <s v="17/7/2014"/>
        <s v="18/7/2014"/>
        <s v="19/7/2014"/>
        <s v="20/7/2014"/>
        <s v="21/7/2014"/>
        <s v="22/7/2014"/>
        <s v="23/7/2014"/>
        <s v="24/7/2014"/>
        <s v="25/7/2014"/>
        <s v="26/7/2014"/>
        <s v="27/7/2014"/>
        <s v="28/7/2014"/>
        <s v="29/7/2014"/>
        <s v="30/7/2014"/>
        <s v="31/7/2014"/>
        <s v="1/8/2014"/>
        <s v="2/8/2014"/>
        <s v="3/8/2014"/>
        <s v="4/8/2014"/>
        <s v="5/8/2014"/>
        <s v="6/8/2014"/>
        <s v="7/8/2014"/>
        <s v="8/8/2014"/>
        <s v="9/8/2014"/>
        <s v="10/8/2014"/>
        <s v="11/8/2014"/>
        <s v="12/8/2014"/>
        <s v="13/8/2014"/>
        <s v="14/8/2014"/>
        <s v="15/8/2014"/>
        <s v="16/8/2014"/>
        <s v="17/8/2014"/>
        <s v="18/8/2014"/>
        <s v="19/8/2014"/>
        <s v="20/8/2014"/>
        <s v="21/8/2014"/>
        <s v="22/8/2014"/>
        <s v="23/8/2014"/>
        <s v="24/8/2014"/>
        <s v="25/8/2014"/>
        <s v="26/8/2014"/>
        <s v="27/8/2014"/>
        <s v="28/8/2014"/>
        <s v="29/8/2014"/>
        <s v="30/8/2014"/>
        <s v="31/8/2014"/>
        <s v="1/9/2014"/>
        <s v="2/9/2014"/>
        <s v="3/9/2014"/>
        <s v="4/9/2014"/>
        <s v="5/9/2014"/>
        <s v="6/9/2014"/>
        <s v="7/9/2014"/>
        <s v="8/9/2014"/>
        <s v="9/9/2014"/>
        <s v="10/9/2014"/>
        <s v="11/9/2014"/>
        <s v="12/9/2014"/>
        <s v="13/9/2014"/>
        <s v="14/9/2014"/>
        <s v="15/9/2014"/>
        <s v="16/9/2014"/>
        <s v="17/9/2014"/>
        <s v="18/9/2014"/>
        <s v="19/9/2014"/>
        <s v="20/9/2014"/>
        <s v="21/9/2014"/>
        <s v="22/9/2014"/>
        <s v="23/9/2014"/>
        <s v="24/9/2014"/>
        <s v="25/9/2014"/>
        <s v="26/9/2014"/>
        <s v="27/9/2014"/>
        <s v="28/9/2014"/>
        <s v="29/9/2014"/>
        <s v="30/9/2014"/>
        <s v="1/10/2014"/>
        <s v="2/10/2014"/>
        <s v="3/10/2014"/>
        <s v="4/10/2014"/>
        <s v="5/10/2014"/>
        <s v="6/10/2014"/>
        <s v="7/10/2014"/>
        <s v="8/10/2014"/>
        <s v="9/10/2014"/>
        <s v="10/10/2014"/>
        <s v="11/10/2014"/>
        <s v="12/10/2014"/>
        <s v="13/10/2014"/>
        <s v="14/10/2014"/>
        <s v="15/10/2014"/>
        <s v="16/10/2014"/>
        <s v="17/10/2014"/>
        <s v="18/10/2014"/>
        <s v="19/10/2014"/>
        <s v="20/10/2014"/>
        <s v="21/10/2014"/>
        <s v="22/10/2014"/>
        <s v="23/10/2014"/>
        <s v="24/10/2014"/>
        <s v="25/10/2014"/>
        <s v="26/10/2014"/>
        <s v="27/10/2014"/>
        <s v="28/10/2014"/>
        <s v="29/10/2014"/>
        <s v="30/10/2014"/>
        <s v="31/10/2014"/>
        <s v="1/11/2014"/>
        <s v="2/11/2014"/>
        <s v="3/11/2014"/>
        <s v="4/11/2014"/>
        <s v="5/11/2014"/>
        <s v="6/11/2014"/>
        <s v="7/11/2014"/>
        <s v="8/11/2014"/>
        <s v="9/11/2014"/>
        <s v="10/11/2014"/>
        <s v="11/11/2014"/>
        <s v="12/11/2014"/>
        <s v="13/11/2014"/>
        <s v="14/11/2014"/>
        <s v="15/11/2014"/>
        <s v="16/11/2014"/>
        <s v="17/11/2014"/>
        <s v="18/11/2014"/>
        <s v="19/11/2014"/>
        <s v="20/11/2014"/>
        <s v="21/11/2014"/>
        <s v="22/11/2014"/>
        <s v="23/11/2014"/>
        <s v="24/11/2014"/>
        <s v="25/11/2014"/>
        <s v="26/11/2014"/>
        <s v="27/11/2014"/>
        <s v="28/11/2014"/>
        <s v="29/11/2014"/>
        <s v="30/11/2014"/>
        <s v="1/12/2014"/>
        <s v="2/12/2014"/>
        <s v="3/12/2014"/>
        <s v="4/12/2014"/>
        <s v="5/12/2014"/>
        <s v="6/12/2014"/>
        <s v="7/12/2014"/>
        <s v="8/12/2014"/>
        <s v="9/12/2014"/>
        <s v="10/12/2014"/>
        <s v="11/12/2014"/>
        <s v="12/12/2014"/>
        <s v="13/12/2014"/>
        <s v="14/12/2014"/>
        <s v="15/12/2014"/>
        <s v="16/12/2014"/>
        <s v="17/12/2014"/>
        <s v="18/12/2014"/>
        <s v="19/12/2014"/>
        <s v="20/12/2014"/>
        <s v="21/12/2014"/>
        <s v="22/12/2014"/>
        <s v="23/12/2014"/>
        <s v="24/12/2014"/>
        <s v="25/12/2014"/>
        <s v="26/12/2014"/>
        <s v="27/12/2014"/>
        <s v="28/12/2014"/>
        <s v="29/12/2014"/>
        <s v="30/12/2014"/>
        <s v="31/12/2014"/>
        <s v="1/1/2015"/>
        <s v="2/1/2015"/>
        <s v="3/1/2015"/>
        <s v="4/1/2015"/>
        <s v="5/1/2015"/>
        <s v="6/1/2015"/>
        <s v="7/1/2015"/>
        <s v="8/1/2015"/>
        <s v="9/1/2015"/>
        <s v="10/1/2015"/>
        <s v="11/1/2015"/>
        <s v="12/1/2015"/>
        <s v="13/1/2015"/>
        <s v="14/1/2015"/>
        <s v="15/1/2015"/>
        <s v="16/1/2015"/>
        <s v="17/1/2015"/>
        <s v="18/1/2015"/>
        <s v="19/1/2015"/>
        <s v="20/1/2015"/>
        <s v="21/1/2015"/>
        <s v="22/1/2015"/>
        <s v="23/1/2015"/>
        <s v="24/1/2015"/>
        <s v="25/1/2015"/>
        <s v="26/1/2015"/>
        <s v="27/1/2015"/>
        <s v="28/1/2015"/>
        <s v="29/1/2015"/>
        <s v="30/1/2015"/>
        <s v="31/1/2015"/>
        <s v="1/2/2015"/>
        <s v="2/2/2015"/>
        <s v="3/2/2015"/>
        <s v="4/2/2015"/>
        <s v="5/2/2015"/>
        <s v="6/2/2015"/>
        <s v="7/2/2015"/>
        <s v="8/2/2015"/>
        <s v="9/2/2015"/>
        <s v="10/2/2015"/>
        <s v="11/2/2015"/>
        <s v="12/2/2015"/>
        <s v="13/2/2015"/>
        <s v="14/2/2015"/>
        <s v="15/2/2015"/>
        <s v="16/2/2015"/>
        <s v="17/2/2015"/>
        <s v="18/2/2015"/>
        <s v="19/2/2015"/>
        <s v="20/2/2015"/>
        <s v="21/2/2015"/>
        <s v="22/2/2015"/>
        <s v="23/2/2015"/>
        <s v="24/2/2015"/>
        <s v="25/2/2015"/>
        <s v="26/2/2015"/>
        <s v="27/2/2015"/>
        <s v="28/2/2015"/>
        <s v="1/3/2015"/>
        <s v="2/3/2015"/>
        <s v="3/3/2015"/>
        <s v="4/3/2015"/>
        <s v="5/3/2015"/>
        <s v="6/3/2015"/>
        <s v="7/3/2015"/>
        <s v="8/3/2015"/>
        <s v="9/3/2015"/>
        <s v="10/3/2015"/>
        <s v="11/3/2015"/>
        <s v="12/3/2015"/>
        <s v="13/3/2015"/>
        <s v="14/3/2015"/>
        <s v="15/3/2015"/>
        <s v="16/3/2015"/>
        <s v="17/3/2015"/>
        <s v="18/3/2015"/>
        <s v="19/3/2015"/>
        <s v="20/3/2015"/>
        <s v="21/3/2015"/>
        <s v="22/3/2015"/>
        <s v="23/3/2015"/>
        <s v="24/3/2015"/>
        <s v="25/3/2015"/>
        <s v="26/3/2015"/>
        <s v="27/3/2015"/>
        <s v="28/3/2015"/>
        <s v="29/3/2015"/>
        <s v="30/3/2015"/>
        <s v="31/3/2015"/>
        <s v="1/4/2015"/>
        <s v="2/4/2015"/>
        <s v="3/4/2015"/>
        <s v="4/4/2015"/>
        <s v="5/4/2015"/>
        <s v="6/4/2015"/>
        <s v="7/4/2015"/>
        <s v="8/4/2015"/>
        <s v="9/4/2015"/>
        <s v="10/4/2015"/>
        <s v="11/4/2015"/>
        <s v="12/4/2015"/>
        <s v="13/4/2015"/>
        <s v="14/4/2015"/>
        <s v="15/4/2015"/>
        <s v="16/4/2015"/>
        <s v="17/4/2015"/>
        <s v="18/4/2015"/>
        <s v="19/4/2015"/>
        <s v="20/4/2015"/>
        <s v="21/4/2015"/>
        <s v="22/4/2015"/>
        <s v="23/4/2015"/>
        <s v="24/4/2015"/>
        <s v="25/4/2015"/>
        <s v="26/4/2015"/>
        <s v="27/4/2015"/>
        <s v="28/4/2015"/>
        <s v="29/4/2015"/>
        <s v="30/4/2015"/>
        <s v="1/5/2015"/>
        <s v="2/5/2015"/>
        <s v="3/5/2015"/>
        <s v="4/5/2015"/>
        <s v="5/5/2015"/>
        <s v="6/5/2015"/>
        <s v="7/5/2015"/>
        <s v="8/5/2015"/>
        <s v="9/5/2015"/>
        <s v="10/5/2015"/>
        <s v="11/5/2015"/>
        <s v="12/5/2015"/>
        <s v="13/5/2015"/>
        <s v="14/5/2015"/>
        <s v="15/5/2015"/>
        <s v="16/5/2015"/>
        <s v="17/5/2015"/>
        <s v="18/5/2015"/>
        <s v="19/5/2015"/>
        <s v="20/5/2015"/>
        <s v="21/5/2015"/>
        <s v="22/5/2015"/>
        <s v="23/5/2015"/>
        <s v="24/5/2015"/>
        <s v="25/5/2015"/>
        <s v="26/5/2015"/>
        <s v="27/5/2015"/>
        <s v="28/5/2015"/>
        <s v="29/5/2015"/>
        <s v="30/5/2015"/>
        <s v="31/5/2015"/>
        <s v="1/6/2015"/>
        <s v="2/6/2015"/>
        <s v="3/6/2015"/>
        <s v="4/6/2015"/>
        <s v="5/6/2015"/>
        <s v="6/6/2015"/>
        <s v="7/6/2015"/>
        <s v="8/6/2015"/>
        <s v="9/6/2015"/>
        <s v="10/6/2015"/>
        <s v="11/6/2015"/>
        <s v="12/6/2015"/>
        <s v="13/6/2015"/>
        <s v="14/6/2015"/>
        <s v="15/6/2015"/>
        <s v="16/6/2015"/>
        <s v="17/6/2015"/>
        <s v="18/6/2015"/>
        <s v="19/6/2015"/>
        <s v="20/6/2015"/>
        <s v="21/6/2015"/>
        <s v="22/6/2015"/>
        <s v="23/6/2015"/>
        <s v="24/6/2015"/>
        <s v="25/6/2015"/>
        <s v="26/6/2015"/>
        <s v="27/6/2015"/>
        <s v="28/6/2015"/>
        <s v="29/6/2015"/>
        <s v="30/6/2015"/>
        <s v="1/7/2015"/>
        <s v="2/7/2015"/>
        <s v="3/7/2015"/>
        <s v="4/7/2015"/>
        <s v="5/7/2015"/>
        <s v="6/7/2015"/>
        <s v="7/7/2015"/>
        <s v="8/7/2015"/>
        <s v="9/7/2015"/>
        <s v="10/7/2015"/>
        <s v="11/7/2015"/>
        <s v="12/7/2015"/>
        <s v="13/7/2015"/>
        <s v="14/7/2015"/>
        <s v="15/7/2015"/>
        <s v="16/7/2015"/>
        <s v="17/7/2015"/>
        <s v="18/7/2015"/>
        <s v="19/7/2015"/>
        <s v="20/7/2015"/>
        <s v="21/7/2015"/>
        <s v="22/7/2015"/>
        <s v="23/7/2015"/>
        <s v="24/7/2015"/>
        <s v="25/7/2015"/>
        <s v="26/7/2015"/>
        <s v="27/7/2015"/>
        <s v="28/7/2015"/>
        <s v="29/7/2015"/>
        <s v="30/7/2015"/>
        <s v="31/7/2015"/>
        <s v="1/8/2015"/>
        <s v="2/8/2015"/>
        <s v="3/8/2015"/>
        <s v="4/8/2015"/>
        <s v="5/8/2015"/>
        <s v="6/8/2015"/>
        <s v="7/8/2015"/>
        <s v="8/8/2015"/>
        <s v="9/8/2015"/>
        <s v="10/8/2015"/>
        <s v="11/8/2015"/>
        <s v="12/8/2015"/>
        <s v="13/8/2015"/>
        <s v="14/8/2015"/>
        <s v="15/8/2015"/>
        <s v="16/8/2015"/>
        <s v="17/8/2015"/>
        <s v="18/8/2015"/>
        <s v="19/8/2015"/>
        <s v="20/8/2015"/>
        <s v="21/8/2015"/>
        <s v="22/8/2015"/>
        <s v="23/8/2015"/>
        <s v="24/8/2015"/>
        <s v="25/8/2015"/>
        <s v="26/8/2015"/>
        <s v="27/8/2015"/>
        <s v="28/8/2015"/>
        <s v="29/8/2015"/>
        <s v="30/8/2015"/>
        <s v="31/8/2015"/>
        <s v="1/9/2015"/>
        <s v="2/9/2015"/>
        <s v="3/9/2015"/>
        <s v="4/9/2015"/>
        <s v="5/9/2015"/>
        <s v="6/9/2015"/>
        <s v="7/9/2015"/>
        <s v="8/9/2015"/>
        <s v="9/9/2015"/>
        <s v="10/9/2015"/>
        <s v="11/9/2015"/>
        <s v="12/9/2015"/>
        <s v="13/9/2015"/>
        <s v="14/9/2015"/>
        <s v="15/9/2015"/>
        <s v="16/9/2015"/>
        <s v="17/9/2015"/>
        <s v="18/9/2015"/>
        <s v="19/9/2015"/>
        <s v="20/9/2015"/>
        <s v="21/9/2015"/>
        <s v="22/9/2015"/>
        <s v="23/9/2015"/>
        <s v="24/9/2015"/>
        <s v="25/9/2015"/>
        <s v="26/9/2015"/>
        <s v="27/9/2015"/>
        <s v="28/9/2015"/>
        <s v="29/9/2015"/>
        <s v="30/9/2015"/>
        <s v="1/10/2015"/>
        <s v="2/10/2015"/>
        <s v="3/10/2015"/>
        <s v="4/10/2015"/>
        <s v="5/10/2015"/>
        <s v="6/10/2015"/>
        <s v="7/10/2015"/>
        <s v="8/10/2015"/>
        <s v="9/10/2015"/>
        <s v="10/10/2015"/>
        <s v="11/10/2015"/>
        <s v="12/10/2015"/>
        <s v="13/10/2015"/>
        <s v="14/10/2015"/>
        <s v="15/10/2015"/>
        <s v="16/10/2015"/>
        <s v="17/10/2015"/>
        <s v="18/10/2015"/>
        <s v="19/10/2015"/>
        <s v="20/10/2015"/>
        <s v="21/10/2015"/>
        <s v="22/10/2015"/>
        <s v="23/10/2015"/>
        <s v="24/10/2015"/>
        <s v="25/10/2015"/>
        <s v="26/10/2015"/>
        <s v="27/10/2015"/>
        <s v="28/10/2015"/>
        <s v="29/10/2015"/>
        <s v="30/10/2015"/>
        <s v="31/10/2015"/>
        <s v="1/11/2015"/>
        <s v="2/11/2015"/>
        <s v="3/11/2015"/>
        <s v="4/11/2015"/>
        <s v="5/11/2015"/>
        <s v="6/11/2015"/>
        <s v="7/11/2015"/>
        <s v="8/11/2015"/>
        <s v="9/11/2015"/>
        <s v="10/11/2015"/>
        <s v="11/11/2015"/>
        <s v="12/11/2015"/>
        <s v="13/11/2015"/>
        <s v="14/11/2015"/>
        <s v="15/11/2015"/>
        <s v="16/11/2015"/>
        <s v="17/11/2015"/>
        <s v="18/11/2015"/>
        <s v="19/11/2015"/>
        <s v="20/11/2015"/>
        <s v="21/11/2015"/>
        <s v="22/11/2015"/>
        <s v="23/11/2015"/>
        <s v="24/11/2015"/>
        <s v="25/11/2015"/>
        <s v="26/11/2015"/>
        <s v="27/11/2015"/>
        <s v="28/11/2015"/>
        <s v="29/11/2015"/>
        <s v="30/11/2015"/>
        <s v="1/12/2015"/>
        <s v="2/12/2015"/>
        <s v="3/12/2015"/>
        <s v="4/12/2015"/>
        <s v="5/12/2015"/>
        <s v="6/12/2015"/>
        <s v="7/12/2015"/>
        <s v="8/12/2015"/>
        <s v="9/12/2015"/>
        <s v="10/12/2015"/>
        <s v="11/12/2015"/>
        <s v="12/12/2015"/>
        <s v="13/12/2015"/>
        <s v="14/12/2015"/>
        <s v="15/12/2015"/>
        <s v="16/12/2015"/>
        <s v="17/12/2015"/>
        <s v="18/12/2015"/>
        <s v="19/12/2015"/>
        <s v="20/12/2015"/>
        <s v="21/12/2015"/>
        <s v="22/12/2015"/>
        <s v="23/12/2015"/>
        <s v="24/12/2015"/>
        <s v="25/12/2015"/>
        <s v="26/12/2015"/>
        <s v="27/12/2015"/>
        <s v="28/12/2015"/>
        <s v="29/12/2015"/>
        <s v="30/12/2015"/>
        <s v="31/12/2015"/>
        <s v="1/1/2016"/>
        <s v="2/1/2016"/>
        <s v="3/1/2016"/>
        <s v="4/1/2016"/>
        <s v="5/1/2016"/>
        <s v="6/1/2016"/>
        <s v="7/1/2016"/>
        <s v="8/1/2016"/>
        <s v="9/1/2016"/>
        <s v="10/1/2016"/>
        <s v="11/1/2016"/>
        <s v="12/1/2016"/>
        <s v="13/1/2016"/>
        <s v="14/1/2016"/>
        <s v="15/1/2016"/>
        <s v="16/1/2016"/>
        <s v="17/1/2016"/>
        <s v="18/1/2016"/>
        <s v="19/1/2016"/>
        <s v="20/1/2016"/>
        <s v="21/1/2016"/>
        <s v="22/1/2016"/>
        <s v="23/1/2016"/>
        <s v="24/1/2016"/>
        <s v="25/1/2016"/>
        <s v="26/1/2016"/>
        <s v="27/1/2016"/>
        <s v="28/1/2016"/>
        <s v="29/1/2016"/>
        <s v="30/1/2016"/>
        <s v="31/1/2016"/>
        <s v="1/2/2016"/>
        <s v="2/2/2016"/>
        <s v="3/2/2016"/>
        <s v="4/2/2016"/>
        <s v="5/2/2016"/>
        <s v="6/2/2016"/>
        <s v="7/2/2016"/>
        <s v="8/2/2016"/>
        <s v="9/2/2016"/>
        <s v="10/2/2016"/>
        <s v="11/2/2016"/>
        <s v="12/2/2016"/>
        <s v="13/2/2016"/>
        <s v="14/2/2016"/>
        <s v="15/2/2016"/>
        <s v="16/2/2016"/>
        <s v="17/2/2016"/>
        <s v="18/2/2016"/>
        <s v="19/2/2016"/>
        <s v="20/2/2016"/>
        <s v="21/2/2016"/>
        <s v="22/2/2016"/>
        <s v="23/2/2016"/>
        <s v="24/2/2016"/>
        <s v="25/2/2016"/>
        <s v="26/2/2016"/>
        <s v="27/2/2016"/>
        <s v="28/2/2016"/>
        <s v="29/2/2016"/>
        <s v="1/3/2016"/>
        <s v="2/3/2016"/>
        <s v="3/3/2016"/>
        <s v="4/3/2016"/>
        <s v="5/3/2016"/>
        <s v="6/3/2016"/>
        <s v="7/3/2016"/>
        <s v="8/3/2016"/>
        <s v="9/3/2016"/>
        <s v="10/3/2016"/>
        <s v="11/3/2016"/>
        <s v="12/3/2016"/>
        <s v="13/3/2016"/>
        <s v="14/3/2016"/>
        <s v="15/3/2016"/>
        <s v="16/3/2016"/>
        <s v="17/3/2016"/>
        <s v="18/3/2016"/>
        <s v="19/3/2016"/>
        <s v="20/3/2016"/>
        <s v="21/3/2016"/>
        <s v="22/3/2016"/>
        <s v="23/3/2016"/>
        <s v="24/3/2016"/>
        <s v="25/3/2016"/>
        <s v="26/3/2016"/>
        <s v="27/3/2016"/>
        <s v="28/3/2016"/>
        <s v="29/3/2016"/>
        <s v="30/3/2016"/>
        <s v="31/3/2016"/>
        <s v="1/4/2016"/>
        <s v="2/4/2016"/>
        <s v="3/4/2016"/>
        <s v="4/4/2016"/>
        <s v="5/4/2016"/>
        <s v="6/4/2016"/>
        <s v="7/4/2016"/>
        <s v="8/4/2016"/>
        <s v="9/4/2016"/>
        <s v="10/4/2016"/>
        <s v="11/4/2016"/>
        <s v="12/4/2016"/>
        <s v="13/4/2016"/>
        <s v="14/4/2016"/>
        <s v="15/4/2016"/>
        <s v="16/4/2016"/>
        <s v="17/4/2016"/>
        <s v="18/4/2016"/>
        <s v="19/4/2016"/>
        <s v="20/4/2016"/>
        <s v="21/4/2016"/>
        <s v="22/4/2016"/>
        <s v="23/4/2016"/>
        <s v="24/4/2016"/>
        <s v="25/4/2016"/>
        <s v="26/4/2016"/>
        <s v="27/4/2016"/>
        <s v="28/4/2016"/>
        <s v="29/4/2016"/>
        <s v="30/4/2016"/>
        <s v="1/5/2016"/>
        <s v="2/5/2016"/>
        <s v="3/5/2016"/>
        <s v="4/5/2016"/>
        <s v="5/5/2016"/>
        <s v="6/5/2016"/>
        <s v="7/5/2016"/>
        <s v="8/5/2016"/>
        <s v="9/5/2016"/>
        <s v="10/5/2016"/>
        <s v="11/5/2016"/>
        <s v="12/5/2016"/>
        <s v="13/5/2016"/>
        <s v="14/5/2016"/>
        <s v="15/5/2016"/>
        <s v="16/5/2016"/>
        <s v="17/5/2016"/>
        <s v="18/5/2016"/>
        <s v="19/5/2016"/>
        <s v="20/5/2016"/>
        <s v="21/5/2016"/>
        <s v="22/5/2016"/>
        <s v="23/5/2016"/>
        <s v="24/5/2016"/>
        <s v="25/5/2016"/>
        <s v="26/5/2016"/>
        <s v="27/5/2016"/>
        <s v="28/5/2016"/>
        <s v="29/5/2016"/>
        <s v="30/5/2016"/>
        <s v="31/5/2016"/>
        <s v="1/6/2016"/>
        <s v="2/6/2016"/>
        <s v="3/6/2016"/>
        <s v="4/6/2016"/>
        <s v="5/6/2016"/>
        <s v="6/6/2016"/>
        <s v="7/6/2016"/>
        <s v="8/6/2016"/>
        <s v="9/6/2016"/>
        <s v="10/6/2016"/>
        <s v="11/6/2016"/>
        <s v="12/6/2016"/>
        <s v="13/6/2016"/>
        <s v="14/6/2016"/>
        <s v="15/6/2016"/>
        <s v="16/6/2016"/>
        <s v="17/6/2016"/>
        <s v="18/6/2016"/>
        <s v="19/6/2016"/>
        <s v="20/6/2016"/>
        <s v="21/6/2016"/>
        <s v="22/6/2016"/>
        <s v="23/6/2016"/>
        <s v="24/6/2016"/>
        <s v="25/6/2016"/>
        <s v="26/6/2016"/>
        <s v="27/6/2016"/>
        <s v="28/6/2016"/>
        <s v="29/6/2016"/>
        <s v="30/6/2016"/>
        <s v="1/7/2016"/>
        <s v="2/7/2016"/>
        <s v="3/7/2016"/>
        <s v="4/7/2016"/>
        <s v="5/7/2016"/>
        <s v="6/7/2016"/>
        <s v="7/7/2016"/>
        <s v="8/7/2016"/>
        <s v="9/7/2016"/>
        <s v="10/7/2016"/>
        <s v="11/7/2016"/>
        <s v="12/7/2016"/>
        <s v="13/7/2016"/>
        <s v="14/7/2016"/>
        <s v="15/7/2016"/>
        <s v="16/7/2016"/>
        <s v="17/7/2016"/>
        <s v="18/7/2016"/>
        <s v="19/7/2016"/>
        <s v="20/7/2016"/>
        <s v="21/7/2016"/>
        <s v="22/7/2016"/>
        <s v="23/7/2016"/>
        <s v="24/7/2016"/>
        <s v="25/7/2016"/>
        <s v="26/7/2016"/>
        <s v="27/7/2016"/>
        <s v="28/7/2016"/>
        <s v="29/7/2016"/>
        <s v="30/7/2016"/>
        <s v="31/7/2016"/>
        <s v="1/8/2016"/>
        <s v="2/8/2016"/>
        <s v="3/8/2016"/>
        <s v="4/8/2016"/>
        <s v="5/8/2016"/>
        <s v="6/8/2016"/>
        <s v="7/8/2016"/>
        <s v="8/8/2016"/>
        <s v="9/8/2016"/>
        <s v="10/8/2016"/>
        <s v="11/8/2016"/>
        <s v="12/8/2016"/>
        <s v="13/8/2016"/>
        <s v="14/8/2016"/>
        <s v="15/8/2016"/>
        <s v="16/8/2016"/>
        <s v="17/8/2016"/>
        <s v="18/8/2016"/>
        <s v="19/8/2016"/>
        <s v="20/8/2016"/>
        <s v="21/8/2016"/>
        <s v="22/8/2016"/>
        <s v="23/8/2016"/>
        <s v="24/8/2016"/>
        <s v="25/8/2016"/>
        <s v="26/8/2016"/>
        <s v="27/8/2016"/>
        <s v="28/8/2016"/>
        <s v="29/8/2016"/>
        <s v="30/8/2016"/>
        <s v="31/8/2016"/>
        <s v="1/9/2016"/>
        <s v="2/9/2016"/>
        <s v="3/9/2016"/>
        <s v="4/9/2016"/>
        <s v="5/9/2016"/>
        <s v="6/9/2016"/>
        <s v="7/9/2016"/>
        <s v="8/9/2016"/>
        <s v="9/9/2016"/>
        <s v="10/9/2016"/>
        <s v="11/9/2016"/>
        <s v="12/9/2016"/>
        <s v="13/9/2016"/>
        <s v="14/9/2016"/>
        <s v="15/9/2016"/>
        <s v="16/9/2016"/>
        <s v="17/9/2016"/>
        <s v="18/9/2016"/>
        <s v="19/9/2016"/>
        <s v="20/9/2016"/>
        <s v="21/9/2016"/>
        <s v="22/9/2016"/>
        <s v="23/9/2016"/>
        <s v="24/9/2016"/>
        <s v="25/9/2016"/>
        <s v="26/9/2016"/>
        <s v="27/9/2016"/>
        <s v="28/9/2016"/>
        <s v="29/9/2016"/>
        <s v="30/9/2016"/>
        <s v="1/10/2016"/>
        <s v="2/10/2016"/>
        <s v="3/10/2016"/>
        <s v="4/10/2016"/>
        <s v="5/10/2016"/>
        <s v="6/10/2016"/>
        <s v="7/10/2016"/>
        <s v="8/10/2016"/>
        <s v="9/10/2016"/>
        <s v="10/10/2016"/>
        <s v="11/10/2016"/>
        <s v="12/10/2016"/>
        <s v="13/10/2016"/>
        <s v="14/10/2016"/>
        <s v="15/10/2016"/>
        <s v="16/10/2016"/>
        <s v="17/10/2016"/>
        <s v="18/10/2016"/>
        <s v="19/10/2016"/>
        <s v="20/10/2016"/>
        <s v="21/10/2016"/>
        <s v="22/10/2016"/>
        <s v="23/10/2016"/>
        <s v="24/10/2016"/>
        <s v="25/10/2016"/>
        <s v="26/10/2016"/>
        <s v="27/10/2016"/>
        <s v="28/10/2016"/>
        <s v="29/10/2016"/>
        <s v="30/10/2016"/>
        <s v="31/10/2016"/>
        <s v="1/11/2016"/>
        <s v="2/11/2016"/>
        <s v="3/11/2016"/>
        <s v="4/11/2016"/>
        <s v="5/11/2016"/>
        <s v="6/11/2016"/>
        <s v="7/11/2016"/>
        <s v="8/11/2016"/>
        <s v="9/11/2016"/>
        <s v="10/11/2016"/>
        <s v="11/11/2016"/>
        <s v="12/11/2016"/>
        <s v="13/11/2016"/>
        <s v="14/11/2016"/>
        <s v="15/11/2016"/>
        <s v="16/11/2016"/>
      </sharedItems>
    </cacheField>
    <cacheField name="Sales" numFmtId="0">
      <sharedItems containsSemiMixedTypes="0" containsString="0" containsNumber="1" minValue="20495.11303" maxValue="846678.38820000004"/>
    </cacheField>
    <cacheField name="Cost Of Sales" numFmtId="0">
      <sharedItems containsSemiMixedTypes="0" containsString="0" containsNumber="1" minValue="18375.052609999999" maxValue="872081.58499999996"/>
    </cacheField>
    <cacheField name="Quantity Sold" numFmtId="0">
      <sharedItems containsSemiMixedTypes="0" containsString="0" containsNumber="1" containsInteger="1" minValue="508" maxValue="26410"/>
    </cacheField>
    <cacheField name="Daily sales price per unit" numFmtId="2">
      <sharedItems containsSemiMixedTypes="0" containsString="0" containsNumber="1" minValue="30.702370086979268" maxValue="43.805996534316506"/>
    </cacheField>
    <cacheField name="Gross Profit" numFmtId="2">
      <sharedItems containsSemiMixedTypes="0" containsString="0" containsNumber="1" minValue="-80692.179200000013" maxValue="27831.94379999995"/>
    </cacheField>
    <cacheField name="% Gross Profit" numFmtId="2">
      <sharedItems containsSemiMixedTypes="0" containsString="0" containsNumber="1" minValue="-806.9217920000001" maxValue="278.31943799999948"/>
    </cacheField>
    <cacheField name="Daily Gross Profit per Unit" numFmtId="2">
      <sharedItems containsSemiMixedTypes="0" containsString="0" containsNumber="1" minValue="-4.9664885278050104" maxValue="6.0882682228490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223937.96789999999"/>
    <n v="230079.62100000001"/>
    <n v="6827"/>
    <n v="32.801811615643764"/>
    <n v="-6141.653100000025"/>
    <n v="-61.416531000000248"/>
    <n v="-0.89961228943899585"/>
  </r>
  <r>
    <x v="1"/>
    <n v="300345.48460000003"/>
    <n v="306986.12050000002"/>
    <n v="9268"/>
    <n v="32.40672039274925"/>
    <n v="-6640.6358999999939"/>
    <n v="-66.406358999999938"/>
    <n v="-0.71651228959861823"/>
  </r>
  <r>
    <x v="2"/>
    <n v="86782.467730000004"/>
    <n v="87986.318209999998"/>
    <n v="2678"/>
    <n v="32.405701168782677"/>
    <n v="-1203.8504799999937"/>
    <n v="-12.038504799999936"/>
    <n v="-0.44953341299476984"/>
  </r>
  <r>
    <x v="3"/>
    <n v="200173.11679999999"/>
    <n v="202881.1777"/>
    <n v="6175"/>
    <n v="32.416699076923074"/>
    <n v="-2708.0609000000113"/>
    <n v="-27.080609000000113"/>
    <n v="-0.43855237246963746"/>
  </r>
  <r>
    <x v="4"/>
    <n v="326906.07419999997"/>
    <n v="333806.29190000001"/>
    <n v="10084"/>
    <n v="32.418293752479173"/>
    <n v="-6900.2177000000374"/>
    <n v="-69.002177000000373"/>
    <n v="-0.68427386949623537"/>
  </r>
  <r>
    <x v="5"/>
    <n v="307043.93540000002"/>
    <n v="313652.34830000001"/>
    <n v="9470"/>
    <n v="32.422802048574447"/>
    <n v="-6608.4128999999957"/>
    <n v="-66.084128999999962"/>
    <n v="-0.69782607180570178"/>
  </r>
  <r>
    <x v="6"/>
    <n v="179188.88449999999"/>
    <n v="183083.285"/>
    <n v="5524"/>
    <n v="32.438248461259953"/>
    <n v="-3894.4005000000179"/>
    <n v="-38.944005000000182"/>
    <n v="-0.70499646994931531"/>
  </r>
  <r>
    <x v="7"/>
    <n v="306351.9509"/>
    <n v="313446.06809999997"/>
    <n v="9448"/>
    <n v="32.42505830863675"/>
    <n v="-7094.1171999999788"/>
    <n v="-70.941171999999781"/>
    <n v="-0.75085914479254645"/>
  </r>
  <r>
    <x v="8"/>
    <n v="224020.41"/>
    <n v="229533.9737"/>
    <n v="6911"/>
    <n v="32.415049920416728"/>
    <n v="-5513.5636999999988"/>
    <n v="-55.135636999999988"/>
    <n v="-0.79779535523079137"/>
  </r>
  <r>
    <x v="9"/>
    <n v="101836.4022"/>
    <n v="99381.967520000006"/>
    <n v="2990"/>
    <n v="34.058997391304345"/>
    <n v="2454.4346799999912"/>
    <n v="24.544346799999911"/>
    <n v="0.82088116387959575"/>
  </r>
  <r>
    <x v="10"/>
    <n v="107804.3049"/>
    <n v="104816.45849999999"/>
    <n v="3159"/>
    <n v="34.126085754985759"/>
    <n v="2987.8464000000095"/>
    <n v="29.878464000000093"/>
    <n v="0.94582032288699258"/>
  </r>
  <r>
    <x v="11"/>
    <n v="144829.95670000001"/>
    <n v="141333.9963"/>
    <n v="4246"/>
    <n v="34.10974015544042"/>
    <n v="3495.9604000000108"/>
    <n v="34.959604000000105"/>
    <n v="0.82335383890720937"/>
  </r>
  <r>
    <x v="12"/>
    <n v="146571.48240000001"/>
    <n v="143179.67000000001"/>
    <n v="4297"/>
    <n v="34.110189062136378"/>
    <n v="3391.8123999999953"/>
    <n v="33.918123999999949"/>
    <n v="0.78934428671165824"/>
  </r>
  <r>
    <x v="13"/>
    <n v="95422.37298"/>
    <n v="93126.147240000006"/>
    <n v="2796"/>
    <n v="34.12817345493562"/>
    <n v="2296.2257399999944"/>
    <n v="22.962257399999945"/>
    <n v="0.82125384120171474"/>
  </r>
  <r>
    <x v="14"/>
    <n v="114883.1738"/>
    <n v="112186.30869999999"/>
    <n v="3369"/>
    <n v="34.100081270406648"/>
    <n v="2696.86510000001"/>
    <n v="26.968651000000101"/>
    <n v="0.80049424161472549"/>
  </r>
  <r>
    <x v="15"/>
    <n v="80090.800080000001"/>
    <n v="78096.760179999997"/>
    <n v="2348"/>
    <n v="34.11022149914821"/>
    <n v="1994.0399000000034"/>
    <n v="19.940399000000035"/>
    <n v="0.84925038330494185"/>
  </r>
  <r>
    <x v="16"/>
    <n v="98945.371159999995"/>
    <n v="97159.002590000004"/>
    <n v="2903"/>
    <n v="34.083834364450567"/>
    <n v="1786.3685699999915"/>
    <n v="17.863685699999916"/>
    <n v="0.61535259042369672"/>
  </r>
  <r>
    <x v="17"/>
    <n v="84904.901710000006"/>
    <n v="83350.43316"/>
    <n v="2491"/>
    <n v="34.084665479727022"/>
    <n v="1554.4685500000051"/>
    <n v="15.54468550000005"/>
    <n v="0.62403394219189279"/>
  </r>
  <r>
    <x v="18"/>
    <n v="135460.61970000001"/>
    <n v="132703.33540000001"/>
    <n v="3968"/>
    <n v="34.138261013104838"/>
    <n v="2757.2842999999993"/>
    <n v="27.572842999999992"/>
    <n v="0.69488011592741916"/>
  </r>
  <r>
    <x v="19"/>
    <n v="149925.74969999999"/>
    <n v="146928.4118"/>
    <n v="4393"/>
    <n v="34.128329091736852"/>
    <n v="2997.3378999999841"/>
    <n v="29.973378999999841"/>
    <n v="0.68229863419075443"/>
  </r>
  <r>
    <x v="20"/>
    <n v="74297.307180000003"/>
    <n v="72782.284320000006"/>
    <n v="2176"/>
    <n v="34.143983079044119"/>
    <n v="1515.0228599999973"/>
    <n v="15.150228599999974"/>
    <n v="0.69624212316176348"/>
  </r>
  <r>
    <x v="21"/>
    <n v="83356.424559999999"/>
    <n v="81789.136119999996"/>
    <n v="2443"/>
    <n v="34.12051762586983"/>
    <n v="1567.2884400000039"/>
    <n v="15.672884400000038"/>
    <n v="0.64154254604994021"/>
  </r>
  <r>
    <x v="22"/>
    <n v="89922.014290000006"/>
    <n v="88388.916070000007"/>
    <n v="2638"/>
    <n v="34.087192680060653"/>
    <n v="1533.0982199999999"/>
    <n v="15.330982199999999"/>
    <n v="0.5811592949203942"/>
  </r>
  <r>
    <x v="23"/>
    <n v="57806.302779999998"/>
    <n v="57157.28254"/>
    <n v="1704"/>
    <n v="33.923886607981217"/>
    <n v="649.02023999999801"/>
    <n v="6.4902023999999798"/>
    <n v="0.38088042253521009"/>
  </r>
  <r>
    <x v="24"/>
    <n v="63977.750350000002"/>
    <n v="62863.987240000002"/>
    <n v="1872"/>
    <n v="34.17614869123932"/>
    <n v="1113.7631099999999"/>
    <n v="11.137631099999998"/>
    <n v="0.59495892628205116"/>
  </r>
  <r>
    <x v="25"/>
    <n v="116958.79979999999"/>
    <n v="114823.79519999999"/>
    <n v="3423"/>
    <n v="34.168507099035935"/>
    <n v="2135.0046000000002"/>
    <n v="21.350046000000003"/>
    <n v="0.62372322524101675"/>
  </r>
  <r>
    <x v="26"/>
    <n v="155272.8248"/>
    <n v="152636.27660000001"/>
    <n v="4544"/>
    <n v="34.17095616197183"/>
    <n v="2636.5481999999902"/>
    <n v="26.365481999999901"/>
    <n v="0.58022627640844859"/>
  </r>
  <r>
    <x v="27"/>
    <n v="82885.215909999999"/>
    <n v="81583.166949999999"/>
    <n v="2426"/>
    <n v="34.165381661170649"/>
    <n v="1302.0489600000001"/>
    <n v="13.020489600000001"/>
    <n v="0.53670608408903553"/>
  </r>
  <r>
    <x v="28"/>
    <n v="72353.425879999995"/>
    <n v="71377.156459999998"/>
    <n v="2117"/>
    <n v="34.177338630136987"/>
    <n v="976.2694199999969"/>
    <n v="9.7626941999999683"/>
    <n v="0.46115702409069292"/>
  </r>
  <r>
    <x v="29"/>
    <n v="50415.903760000001"/>
    <n v="49769.098239999999"/>
    <n v="1476"/>
    <n v="34.157116368563685"/>
    <n v="646.80552000000171"/>
    <n v="6.4680552000000171"/>
    <n v="0.43821512195122064"/>
  </r>
  <r>
    <x v="30"/>
    <n v="67458.301890000002"/>
    <n v="66529.441999999995"/>
    <n v="1974"/>
    <n v="34.173405212765957"/>
    <n v="928.859890000007"/>
    <n v="9.2885989000000695"/>
    <n v="0.47054705673759217"/>
  </r>
  <r>
    <x v="31"/>
    <n v="64640.369310000002"/>
    <n v="63757.839870000003"/>
    <n v="1892"/>
    <n v="34.165100058139537"/>
    <n v="882.52943999999843"/>
    <n v="8.8252943999999847"/>
    <n v="0.46645319238900551"/>
  </r>
  <r>
    <x v="32"/>
    <n v="137693.87349999999"/>
    <n v="135609.50760000001"/>
    <n v="4030"/>
    <n v="34.167214267990069"/>
    <n v="2084.3658999999752"/>
    <n v="20.843658999999754"/>
    <n v="0.5172123821339889"/>
  </r>
  <r>
    <x v="33"/>
    <n v="181209.12849999999"/>
    <n v="178435.71530000001"/>
    <n v="5304"/>
    <n v="34.164616987179485"/>
    <n v="2773.4131999999809"/>
    <n v="27.734131999999807"/>
    <n v="0.52289087481145946"/>
  </r>
  <r>
    <x v="34"/>
    <n v="113433.58100000001"/>
    <n v="111466.5168"/>
    <n v="3320"/>
    <n v="34.166741265060246"/>
    <n v="1967.064200000008"/>
    <n v="19.670642000000079"/>
    <n v="0.59248921686747225"/>
  </r>
  <r>
    <x v="35"/>
    <n v="143192.53339999999"/>
    <n v="140505.6347"/>
    <n v="4191"/>
    <n v="34.166674636125023"/>
    <n v="2686.8986999999906"/>
    <n v="26.868986999999905"/>
    <n v="0.64111159627773573"/>
  </r>
  <r>
    <x v="36"/>
    <n v="130126.6499"/>
    <n v="128496.2877"/>
    <n v="3809"/>
    <n v="34.16294300341297"/>
    <n v="1630.3622000000032"/>
    <n v="16.303622000000033"/>
    <n v="0.42802893147807908"/>
  </r>
  <r>
    <x v="37"/>
    <n v="187155.86850000001"/>
    <n v="195078.60329999999"/>
    <n v="5764"/>
    <n v="32.469789816099933"/>
    <n v="-7922.7347999999765"/>
    <n v="-79.227347999999765"/>
    <n v="-1.3745202637057559"/>
  </r>
  <r>
    <x v="38"/>
    <n v="102314.7096"/>
    <n v="101977.99"/>
    <n v="3028"/>
    <n v="33.789534214002643"/>
    <n v="336.71959999999672"/>
    <n v="3.367195999999967"/>
    <n v="0.11120198150594343"/>
  </r>
  <r>
    <x v="39"/>
    <n v="301553.84259999997"/>
    <n v="313529.18770000001"/>
    <n v="9284"/>
    <n v="32.481025700129251"/>
    <n v="-11975.345100000035"/>
    <n v="-119.75345100000035"/>
    <n v="-1.2898906828953076"/>
  </r>
  <r>
    <x v="40"/>
    <n v="316073.17749999999"/>
    <n v="329754.7795"/>
    <n v="9737"/>
    <n v="32.461043185786174"/>
    <n v="-13681.602000000014"/>
    <n v="-136.81602000000012"/>
    <n v="-1.4051147170586438"/>
  </r>
  <r>
    <x v="41"/>
    <n v="135178.04259999999"/>
    <n v="141530.70869999999"/>
    <n v="4163"/>
    <n v="32.471304972375684"/>
    <n v="-6352.6661000000022"/>
    <n v="-63.526661000000018"/>
    <n v="-1.5259827288013457"/>
  </r>
  <r>
    <x v="42"/>
    <n v="147727.51620000001"/>
    <n v="154828.68460000001"/>
    <n v="4552"/>
    <n v="32.453320782073817"/>
    <n v="-7101.168399999995"/>
    <n v="-71.011683999999946"/>
    <n v="-1.5600106326889269"/>
  </r>
  <r>
    <x v="43"/>
    <n v="135498.7464"/>
    <n v="139824.16159999999"/>
    <n v="4172"/>
    <n v="32.478127133269417"/>
    <n v="-4325.4151999999885"/>
    <n v="-43.254151999999884"/>
    <n v="-1.0367725790987508"/>
  </r>
  <r>
    <x v="44"/>
    <n v="163432.84520000001"/>
    <n v="166893.3689"/>
    <n v="5037"/>
    <n v="32.446465197538217"/>
    <n v="-3460.5236999999906"/>
    <n v="-34.605236999999903"/>
    <n v="-0.68702078618224949"/>
  </r>
  <r>
    <x v="45"/>
    <n v="138291.63329999999"/>
    <n v="141027.4345"/>
    <n v="4259"/>
    <n v="32.470446888941062"/>
    <n v="-2735.8012000000163"/>
    <n v="-27.358012000000162"/>
    <n v="-0.64235764263912098"/>
  </r>
  <r>
    <x v="46"/>
    <n v="336901.37170000002"/>
    <n v="343519.87550000002"/>
    <n v="10381"/>
    <n v="32.453652991041331"/>
    <n v="-6618.5038000000059"/>
    <n v="-66.185038000000063"/>
    <n v="-0.63755936807629376"/>
  </r>
  <r>
    <x v="47"/>
    <n v="367729.26819999999"/>
    <n v="373973.59330000001"/>
    <n v="11332"/>
    <n v="32.450517843275676"/>
    <n v="-6244.3251000000164"/>
    <n v="-62.443251000000167"/>
    <n v="-0.55103468937522204"/>
  </r>
  <r>
    <x v="48"/>
    <n v="133913.8414"/>
    <n v="136797.07740000001"/>
    <n v="4127"/>
    <n v="32.448229076811245"/>
    <n v="-2883.2360000000044"/>
    <n v="-28.832360000000044"/>
    <n v="-0.69862757450932989"/>
  </r>
  <r>
    <x v="49"/>
    <n v="150800.34700000001"/>
    <n v="152887.10639999999"/>
    <n v="4649"/>
    <n v="32.437157883415793"/>
    <n v="-2086.7593999999808"/>
    <n v="-20.867593999999809"/>
    <n v="-0.44886199182619507"/>
  </r>
  <r>
    <x v="50"/>
    <n v="55591.930339999999"/>
    <n v="53463.244209999997"/>
    <n v="1627"/>
    <n v="34.168365298094649"/>
    <n v="2128.6861300000019"/>
    <n v="21.28686130000002"/>
    <n v="1.308350417947143"/>
  </r>
  <r>
    <x v="51"/>
    <n v="106427.1918"/>
    <n v="107736.44409999999"/>
    <n v="3281"/>
    <n v="32.43742511429442"/>
    <n v="-1309.2522999999928"/>
    <n v="-13.092522999999929"/>
    <n v="-0.39904062785735839"/>
  </r>
  <r>
    <x v="52"/>
    <n v="78940.55442"/>
    <n v="75934.394820000001"/>
    <n v="2310"/>
    <n v="34.173400181818181"/>
    <n v="3006.159599999999"/>
    <n v="30.061595999999991"/>
    <n v="1.3013677922077918"/>
  </r>
  <r>
    <x v="53"/>
    <n v="317916.31790000002"/>
    <n v="322089.78899999999"/>
    <n v="9802"/>
    <n v="32.433821454805141"/>
    <n v="-4173.4710999999661"/>
    <n v="-41.734710999999663"/>
    <n v="-0.42577750459089636"/>
  </r>
  <r>
    <x v="54"/>
    <n v="309217.87560000003"/>
    <n v="320116.92430000001"/>
    <n v="9772"/>
    <n v="31.643253745395008"/>
    <n v="-10899.048699999985"/>
    <n v="-108.99048699999985"/>
    <n v="-1.1153344965206697"/>
  </r>
  <r>
    <x v="55"/>
    <n v="138491.54999999999"/>
    <n v="140752.60159999999"/>
    <n v="4270"/>
    <n v="32.433618266978918"/>
    <n v="-2261.0516000000061"/>
    <n v="-22.610516000000061"/>
    <n v="-0.52952028103044635"/>
  </r>
  <r>
    <x v="56"/>
    <n v="133146.22219999999"/>
    <n v="134505.40419999999"/>
    <n v="4106"/>
    <n v="32.427233852898198"/>
    <n v="-1359.1820000000007"/>
    <n v="-13.591820000000007"/>
    <n v="-0.33102338041889934"/>
  </r>
  <r>
    <x v="57"/>
    <n v="224994.6562"/>
    <n v="227546.4466"/>
    <n v="6937"/>
    <n v="32.433999740521841"/>
    <n v="-2551.790399999998"/>
    <n v="-25.51790399999998"/>
    <n v="-0.36785215511027791"/>
  </r>
  <r>
    <x v="58"/>
    <n v="225051.59150000001"/>
    <n v="228214.1421"/>
    <n v="6934"/>
    <n v="32.456243366022498"/>
    <n v="-3162.5505999999878"/>
    <n v="-31.625505999999877"/>
    <n v="-0.45609325064897427"/>
  </r>
  <r>
    <x v="59"/>
    <n v="344299.68239999999"/>
    <n v="365935.65299999999"/>
    <n v="11082"/>
    <n v="31.0683705468327"/>
    <n v="-21635.970600000001"/>
    <n v="-216.35970600000002"/>
    <n v="-1.9523525175961018"/>
  </r>
  <r>
    <x v="60"/>
    <n v="661876.5"/>
    <n v="686656.79099999997"/>
    <n v="20805"/>
    <n v="31.813338139870222"/>
    <n v="-24780.290999999968"/>
    <n v="-247.80290999999968"/>
    <n v="-1.1910738284066316"/>
  </r>
  <r>
    <x v="61"/>
    <n v="846678.38820000004"/>
    <n v="872081.58499999996"/>
    <n v="26410"/>
    <n v="32.05900750473306"/>
    <n v="-25403.196799999918"/>
    <n v="-254.03196799999918"/>
    <n v="-0.96187795531995146"/>
  </r>
  <r>
    <x v="62"/>
    <n v="478902.30489999999"/>
    <n v="495554.44990000001"/>
    <n v="15004"/>
    <n v="31.918308777659291"/>
    <n v="-16652.145000000019"/>
    <n v="-166.52145000000019"/>
    <n v="-1.1098470407891241"/>
  </r>
  <r>
    <x v="63"/>
    <n v="538827.20209999999"/>
    <n v="557567.13699999999"/>
    <n v="16884"/>
    <n v="31.913480342335941"/>
    <n v="-18739.934899999993"/>
    <n v="-187.39934899999992"/>
    <n v="-1.1099227019663582"/>
  </r>
  <r>
    <x v="64"/>
    <n v="310346.1213"/>
    <n v="323325.02990000002"/>
    <n v="9789"/>
    <n v="31.703557186638061"/>
    <n v="-12978.908600000024"/>
    <n v="-129.78908600000025"/>
    <n v="-1.325866646235573"/>
  </r>
  <r>
    <x v="65"/>
    <n v="256390.52220000001"/>
    <n v="267308.50709999999"/>
    <n v="8079"/>
    <n v="31.73542792424805"/>
    <n v="-10917.984899999981"/>
    <n v="-109.17984899999982"/>
    <n v="-1.3514030077979924"/>
  </r>
  <r>
    <x v="66"/>
    <n v="167803.65979999999"/>
    <n v="168135.69"/>
    <n v="5072"/>
    <n v="33.084317783911672"/>
    <n v="-332.03020000000834"/>
    <n v="-3.3203020000000834"/>
    <n v="-6.5463367507888073E-2"/>
  </r>
  <r>
    <x v="67"/>
    <n v="465318.02149999997"/>
    <n v="483774.59669999999"/>
    <n v="14551"/>
    <n v="31.978422204659473"/>
    <n v="-18456.575200000021"/>
    <n v="-184.5657520000002"/>
    <n v="-1.2684059652257591"/>
  </r>
  <r>
    <x v="68"/>
    <n v="520146.74959999998"/>
    <n v="541498.95819999999"/>
    <n v="16262"/>
    <n v="31.985410748985363"/>
    <n v="-21352.208600000013"/>
    <n v="-213.52208600000012"/>
    <n v="-1.3130124584921912"/>
  </r>
  <r>
    <x v="69"/>
    <n v="224699.25279999999"/>
    <n v="233589.98300000001"/>
    <n v="7014"/>
    <n v="32.035821613915026"/>
    <n v="-8890.73020000002"/>
    <n v="-88.9073020000002"/>
    <n v="-1.2675691759338494"/>
  </r>
  <r>
    <x v="70"/>
    <n v="286230.6789"/>
    <n v="297642.89140000002"/>
    <n v="8932"/>
    <n v="32.045530553067621"/>
    <n v="-11412.212500000023"/>
    <n v="-114.12212500000024"/>
    <n v="-1.2776771719659676"/>
  </r>
  <r>
    <x v="71"/>
    <n v="187143.01809999999"/>
    <n v="191499.0428"/>
    <n v="5737"/>
    <n v="32.62036222764511"/>
    <n v="-4356.024700000009"/>
    <n v="-43.560247000000089"/>
    <n v="-0.75928616001394611"/>
  </r>
  <r>
    <x v="72"/>
    <n v="191700.3891"/>
    <n v="197153.424"/>
    <n v="5903"/>
    <n v="32.475078621040147"/>
    <n v="-5453.0348999999987"/>
    <n v="-54.530348999999987"/>
    <n v="-0.92377348805691994"/>
  </r>
  <r>
    <x v="73"/>
    <n v="164663.9676"/>
    <n v="168975.174"/>
    <n v="5056"/>
    <n v="32.568031566455694"/>
    <n v="-4311.2063999999955"/>
    <n v="-43.112063999999954"/>
    <n v="-0.85269113924050544"/>
  </r>
  <r>
    <x v="74"/>
    <n v="395941.34509999998"/>
    <n v="406765.91399999999"/>
    <n v="12167"/>
    <n v="32.542232686775705"/>
    <n v="-10824.568900000013"/>
    <n v="-108.24568900000013"/>
    <n v="-0.88966622010355989"/>
  </r>
  <r>
    <x v="75"/>
    <n v="518183.21039999998"/>
    <n v="534383.14309999999"/>
    <n v="15971"/>
    <n v="32.44525767954417"/>
    <n v="-16199.932700000005"/>
    <n v="-161.99932700000005"/>
    <n v="-1.0143342746227539"/>
  </r>
  <r>
    <x v="76"/>
    <n v="226617.95490000001"/>
    <n v="233191.10459999999"/>
    <n v="6968"/>
    <n v="32.522668613662461"/>
    <n v="-6573.1496999999799"/>
    <n v="-65.731496999999806"/>
    <n v="-0.94333376865671359"/>
  </r>
  <r>
    <x v="77"/>
    <n v="243707.8719"/>
    <n v="250794.2213"/>
    <n v="7494"/>
    <n v="32.520399239391516"/>
    <n v="-7086.3494000000064"/>
    <n v="-70.86349400000006"/>
    <n v="-0.94560306912196512"/>
  </r>
  <r>
    <x v="78"/>
    <n v="94849.743799999997"/>
    <n v="90571.588919999995"/>
    <n v="2707"/>
    <n v="35.038693683043959"/>
    <n v="4278.1548800000019"/>
    <n v="42.781548800000017"/>
    <n v="1.5804044625046183"/>
  </r>
  <r>
    <x v="79"/>
    <n v="92386.783070000005"/>
    <n v="88255.840989999997"/>
    <n v="2637"/>
    <n v="35.034805866514979"/>
    <n v="4130.942080000008"/>
    <n v="41.309420800000083"/>
    <n v="1.5665309366704618"/>
  </r>
  <r>
    <x v="80"/>
    <n v="180394.82769999999"/>
    <n v="172344.30439999999"/>
    <n v="5149"/>
    <n v="35.034924781510973"/>
    <n v="8050.5233000000007"/>
    <n v="80.505233000000004"/>
    <n v="1.5635120023305498"/>
  </r>
  <r>
    <x v="81"/>
    <n v="200939.6924"/>
    <n v="192019.14430000001"/>
    <n v="5735"/>
    <n v="35.037435466434175"/>
    <n v="8920.5480999999854"/>
    <n v="89.20548099999985"/>
    <n v="1.5554573844812529"/>
  </r>
  <r>
    <x v="82"/>
    <n v="172953.9247"/>
    <n v="165201.30499999999"/>
    <n v="4936"/>
    <n v="35.039287824149106"/>
    <n v="7752.6197000000102"/>
    <n v="77.526197000000096"/>
    <n v="1.5706279781199373"/>
  </r>
  <r>
    <x v="83"/>
    <n v="70194.799540000007"/>
    <n v="67061.622709999996"/>
    <n v="2003"/>
    <n v="35.044832521218176"/>
    <n v="3133.1768300000113"/>
    <n v="31.331768300000114"/>
    <n v="1.5642420519221225"/>
  </r>
  <r>
    <x v="84"/>
    <n v="81378.214630000002"/>
    <n v="77703.646330000003"/>
    <n v="2323"/>
    <n v="35.031517275075338"/>
    <n v="3674.568299999999"/>
    <n v="36.745682999999993"/>
    <n v="1.581820189410245"/>
  </r>
  <r>
    <x v="85"/>
    <n v="130227.0147"/>
    <n v="127394.2892"/>
    <n v="3822"/>
    <n v="34.073002276295135"/>
    <n v="2832.7255000000005"/>
    <n v="28.327255000000005"/>
    <n v="0.74116313448456317"/>
  </r>
  <r>
    <x v="86"/>
    <n v="125310.0364"/>
    <n v="122275.1026"/>
    <n v="3666"/>
    <n v="34.181679323513364"/>
    <n v="3034.9337999999989"/>
    <n v="30.349337999999989"/>
    <n v="0.82785973813420588"/>
  </r>
  <r>
    <x v="87"/>
    <n v="119452.33960000001"/>
    <n v="118186.575"/>
    <n v="3543"/>
    <n v="33.715026700536271"/>
    <n v="1265.7646000000095"/>
    <n v="12.657646000000096"/>
    <n v="0.35725786057014097"/>
  </r>
  <r>
    <x v="88"/>
    <n v="276174.76929999999"/>
    <n v="271550.89559999999"/>
    <n v="8130"/>
    <n v="33.96983632226322"/>
    <n v="4623.8736999999965"/>
    <n v="46.238736999999965"/>
    <n v="0.56874215252152482"/>
  </r>
  <r>
    <x v="89"/>
    <n v="357369.26689999999"/>
    <n v="352250.83010000002"/>
    <n v="10518"/>
    <n v="33.976922123977943"/>
    <n v="5118.4367999999668"/>
    <n v="51.184367999999665"/>
    <n v="0.48663593839132596"/>
  </r>
  <r>
    <x v="90"/>
    <n v="163865.4903"/>
    <n v="160525.42689999999"/>
    <n v="4791"/>
    <n v="34.20277401377583"/>
    <n v="3340.0634000000136"/>
    <n v="33.400634000000139"/>
    <n v="0.6971537048632882"/>
  </r>
  <r>
    <x v="91"/>
    <n v="190719.6145"/>
    <n v="187072.59520000001"/>
    <n v="5583"/>
    <n v="34.160776374708938"/>
    <n v="3647.0192999999854"/>
    <n v="36.470192999999853"/>
    <n v="0.65323648576034132"/>
  </r>
  <r>
    <x v="92"/>
    <n v="244535.2052"/>
    <n v="239700.68479999999"/>
    <n v="7155"/>
    <n v="34.176828120195665"/>
    <n v="4834.5204000000085"/>
    <n v="48.345204000000088"/>
    <n v="0.67568419287211856"/>
  </r>
  <r>
    <x v="93"/>
    <n v="155620.50380000001"/>
    <n v="153366.01879999999"/>
    <n v="4575"/>
    <n v="34.015410666666668"/>
    <n v="2254.4850000000151"/>
    <n v="22.544850000000153"/>
    <n v="0.49278360655738035"/>
  </r>
  <r>
    <x v="94"/>
    <n v="136001.97820000001"/>
    <n v="134523.0686"/>
    <n v="3997"/>
    <n v="34.026014060545414"/>
    <n v="1478.9096000000136"/>
    <n v="14.789096000000136"/>
    <n v="0.37000490367776173"/>
  </r>
  <r>
    <x v="95"/>
    <n v="190559.88750000001"/>
    <n v="187742.3"/>
    <n v="5558"/>
    <n v="34.285694044620371"/>
    <n v="2817.5875000000233"/>
    <n v="28.175875000000232"/>
    <n v="0.50694269521410995"/>
  </r>
  <r>
    <x v="96"/>
    <n v="217110.5025"/>
    <n v="213540.73420000001"/>
    <n v="6320"/>
    <n v="34.352927610759494"/>
    <n v="3569.7682999999961"/>
    <n v="35.697682999999962"/>
    <n v="0.56483675632911334"/>
  </r>
  <r>
    <x v="97"/>
    <n v="119190.1"/>
    <n v="116856.3146"/>
    <n v="3447"/>
    <n v="34.577922831447637"/>
    <n v="2333.7854000000079"/>
    <n v="23.337854000000078"/>
    <n v="0.67704827386133104"/>
  </r>
  <r>
    <x v="98"/>
    <n v="131910.19750000001"/>
    <n v="130784.44469999999"/>
    <n v="3854"/>
    <n v="34.226828619615986"/>
    <n v="1125.7528000000166"/>
    <n v="11.257528000000166"/>
    <n v="0.29209984431759639"/>
  </r>
  <r>
    <x v="99"/>
    <n v="118921.3077"/>
    <n v="115305.8052"/>
    <n v="3394"/>
    <n v="35.038688185032413"/>
    <n v="3615.5025000000023"/>
    <n v="36.155025000000023"/>
    <n v="1.0652629640542139"/>
  </r>
  <r>
    <x v="100"/>
    <n v="124828.2828"/>
    <n v="121264.7031"/>
    <n v="3563"/>
    <n v="35.034600841987093"/>
    <n v="3563.579700000002"/>
    <n v="35.635797000000018"/>
    <n v="1.0001626999719344"/>
  </r>
  <r>
    <x v="101"/>
    <n v="179326.4902"/>
    <n v="183278.5024"/>
    <n v="5380"/>
    <n v="33.332061375464683"/>
    <n v="-3952.0121999999974"/>
    <n v="-39.520121999999972"/>
    <n v="-0.73457475836431174"/>
  </r>
  <r>
    <x v="102"/>
    <n v="318949.81709999999"/>
    <n v="326322.52600000001"/>
    <n v="9573"/>
    <n v="33.317645158257598"/>
    <n v="-7372.7089000000269"/>
    <n v="-73.727089000000262"/>
    <n v="-0.77015657578606778"/>
  </r>
  <r>
    <x v="103"/>
    <n v="375031.10930000001"/>
    <n v="383727.19400000002"/>
    <n v="11250"/>
    <n v="33.336098604444445"/>
    <n v="-8696.0847000000067"/>
    <n v="-86.960847000000072"/>
    <n v="-0.77298530666666732"/>
  </r>
  <r>
    <x v="104"/>
    <n v="166393.54070000001"/>
    <n v="170061.86410000001"/>
    <n v="4990"/>
    <n v="33.345398937875757"/>
    <n v="-3668.3233999999939"/>
    <n v="-36.683233999999942"/>
    <n v="-0.73513494989979833"/>
  </r>
  <r>
    <x v="105"/>
    <n v="193652.3278"/>
    <n v="198212.0687"/>
    <n v="5810"/>
    <n v="33.330865370051633"/>
    <n v="-4559.7409000000043"/>
    <n v="-45.597409000000042"/>
    <n v="-0.78480910499139489"/>
  </r>
  <r>
    <x v="106"/>
    <n v="249805.5172"/>
    <n v="255956.65400000001"/>
    <n v="7497"/>
    <n v="33.32073058556756"/>
    <n v="-6151.1368000000075"/>
    <n v="-61.511368000000076"/>
    <n v="-0.82047976523943011"/>
  </r>
  <r>
    <x v="107"/>
    <n v="294023.41090000002"/>
    <n v="301522.35230000003"/>
    <n v="8821"/>
    <n v="33.332208468427616"/>
    <n v="-7498.9414000000106"/>
    <n v="-74.98941400000011"/>
    <n v="-0.85012372746854215"/>
  </r>
  <r>
    <x v="108"/>
    <n v="612236.00580000004"/>
    <n v="627927.75870000001"/>
    <n v="18366"/>
    <n v="33.335293792878147"/>
    <n v="-15691.752899999963"/>
    <n v="-156.91752899999963"/>
    <n v="-0.85439142437111859"/>
  </r>
  <r>
    <x v="109"/>
    <n v="464815.51789999998"/>
    <n v="476692.54369999998"/>
    <n v="13940"/>
    <n v="33.344011327116213"/>
    <n v="-11877.025800000003"/>
    <n v="-118.77025800000003"/>
    <n v="-0.85201045911047368"/>
  </r>
  <r>
    <x v="110"/>
    <n v="360480.94040000002"/>
    <n v="369765.6128"/>
    <n v="10814"/>
    <n v="33.334653264287034"/>
    <n v="-9284.6723999999813"/>
    <n v="-92.84672399999981"/>
    <n v="-0.85857891621971349"/>
  </r>
  <r>
    <x v="111"/>
    <n v="114279.5773"/>
    <n v="117190.8262"/>
    <n v="3429"/>
    <n v="33.327377456984543"/>
    <n v="-2911.2488999999914"/>
    <n v="-29.112488999999915"/>
    <n v="-0.84900813648293716"/>
  </r>
  <r>
    <x v="112"/>
    <n v="161170.8204"/>
    <n v="165415.08379999999"/>
    <n v="4834"/>
    <n v="33.341088208522962"/>
    <n v="-4244.2633999999962"/>
    <n v="-42.442633999999963"/>
    <n v="-0.87800235829540674"/>
  </r>
  <r>
    <x v="113"/>
    <n v="182483.1465"/>
    <n v="187344.7372"/>
    <n v="5475"/>
    <n v="33.330255068493152"/>
    <n v="-4861.5907000000007"/>
    <n v="-48.615907000000007"/>
    <n v="-0.88796177168949786"/>
  </r>
  <r>
    <x v="114"/>
    <n v="109358.41250000001"/>
    <n v="106849.8988"/>
    <n v="3121"/>
    <n v="35.039542614546619"/>
    <n v="2508.5137000000104"/>
    <n v="25.085137000000103"/>
    <n v="0.80375318808074669"/>
  </r>
  <r>
    <x v="115"/>
    <n v="98430.114109999995"/>
    <n v="96197.482229999994"/>
    <n v="2809"/>
    <n v="35.040980459238163"/>
    <n v="2232.6318800000008"/>
    <n v="22.32631880000001"/>
    <n v="0.79481377002492015"/>
  </r>
  <r>
    <x v="116"/>
    <n v="295741.34700000001"/>
    <n v="292327.02830000001"/>
    <n v="8537"/>
    <n v="34.64230373667565"/>
    <n v="3414.3187000000034"/>
    <n v="34.143187000000033"/>
    <n v="0.39994362188122329"/>
  </r>
  <r>
    <x v="117"/>
    <n v="285053.97989999998"/>
    <n v="281159.58110000001"/>
    <n v="8209"/>
    <n v="34.724568144719207"/>
    <n v="3894.3987999999663"/>
    <n v="38.943987999999663"/>
    <n v="0.47440599342184997"/>
  </r>
  <r>
    <x v="118"/>
    <n v="124964.7965"/>
    <n v="123042.159"/>
    <n v="3592"/>
    <n v="34.789754036748327"/>
    <n v="1922.6374999999971"/>
    <n v="19.226374999999972"/>
    <n v="0.53525542873051146"/>
  </r>
  <r>
    <x v="119"/>
    <n v="124175.80839999999"/>
    <n v="122516.06570000001"/>
    <n v="3576"/>
    <n v="34.724778635346752"/>
    <n v="1659.742699999988"/>
    <n v="16.597426999999879"/>
    <n v="0.46413386465324047"/>
  </r>
  <r>
    <x v="120"/>
    <n v="131842.5716"/>
    <n v="130405.26390000001"/>
    <n v="3807"/>
    <n v="34.631618492251114"/>
    <n v="1437.3076999999903"/>
    <n v="14.373076999999903"/>
    <n v="0.37754339374835572"/>
  </r>
  <r>
    <x v="121"/>
    <n v="154850.05729999999"/>
    <n v="150644.34820000001"/>
    <n v="4398"/>
    <n v="35.209199022282853"/>
    <n v="4205.7090999999782"/>
    <n v="42.05709099999978"/>
    <n v="0.9562776489313275"/>
  </r>
  <r>
    <x v="122"/>
    <n v="180294.26869999999"/>
    <n v="175656.65040000001"/>
    <n v="5124"/>
    <n v="35.186235109289612"/>
    <n v="4637.6182999999728"/>
    <n v="46.376182999999727"/>
    <n v="0.90507773224043186"/>
  </r>
  <r>
    <x v="123"/>
    <n v="163849.03580000001"/>
    <n v="157300.6256"/>
    <n v="4581"/>
    <n v="35.76708923815761"/>
    <n v="6548.410200000013"/>
    <n v="65.484102000000135"/>
    <n v="1.4294717747216794"/>
  </r>
  <r>
    <x v="124"/>
    <n v="131436.79240000001"/>
    <n v="127601.94469999999"/>
    <n v="3697"/>
    <n v="35.552283581282126"/>
    <n v="3834.847700000013"/>
    <n v="38.34847700000013"/>
    <n v="1.0372863673248616"/>
  </r>
  <r>
    <x v="125"/>
    <n v="93082.043959999995"/>
    <n v="91601.506540000002"/>
    <n v="2642"/>
    <n v="35.231659333838003"/>
    <n v="1480.5374199999933"/>
    <n v="14.805374199999934"/>
    <n v="0.5603850946252813"/>
  </r>
  <r>
    <x v="126"/>
    <n v="110887.01330000001"/>
    <n v="109460.1532"/>
    <n v="3154"/>
    <n v="35.157581896005077"/>
    <n v="1426.8601000000053"/>
    <n v="14.268601000000054"/>
    <n v="0.45239698795180894"/>
  </r>
  <r>
    <x v="127"/>
    <n v="119385.5754"/>
    <n v="115693.1066"/>
    <n v="3324"/>
    <n v="35.916238086642601"/>
    <n v="3692.4688000000024"/>
    <n v="36.924688000000025"/>
    <n v="1.11085102286402"/>
  </r>
  <r>
    <x v="128"/>
    <n v="91719.589380000005"/>
    <n v="93157.170580000005"/>
    <n v="2677"/>
    <n v="34.262080455734029"/>
    <n v="-1437.5812000000005"/>
    <n v="-14.375812000000005"/>
    <n v="-0.53701202838998896"/>
  </r>
  <r>
    <x v="129"/>
    <n v="96335.448950000005"/>
    <n v="93696.216140000004"/>
    <n v="2683"/>
    <n v="35.905869903093553"/>
    <n v="2639.2328100000013"/>
    <n v="26.392328100000015"/>
    <n v="0.98368721953037697"/>
  </r>
  <r>
    <x v="130"/>
    <n v="303226.29840000003"/>
    <n v="325836.94010000001"/>
    <n v="9328"/>
    <n v="32.50710746140652"/>
    <n v="-22610.641699999978"/>
    <n v="-226.10641699999979"/>
    <n v="-2.4239538700686083"/>
  </r>
  <r>
    <x v="131"/>
    <n v="431695.70919999998"/>
    <n v="465253.81569999998"/>
    <n v="13306"/>
    <n v="32.443687749887268"/>
    <n v="-33558.106499999994"/>
    <n v="-335.58106499999997"/>
    <n v="-2.5220281451976549"/>
  </r>
  <r>
    <x v="132"/>
    <n v="200407.27710000001"/>
    <n v="215907.82490000001"/>
    <n v="6173"/>
    <n v="32.465134796695288"/>
    <n v="-15500.5478"/>
    <n v="-155.00547800000001"/>
    <n v="-2.5110234569901184"/>
  </r>
  <r>
    <x v="133"/>
    <n v="183413.7083"/>
    <n v="197835.4951"/>
    <n v="5653"/>
    <n v="32.445375605872989"/>
    <n v="-14421.786800000002"/>
    <n v="-144.21786800000001"/>
    <n v="-2.5511740314877058"/>
  </r>
  <r>
    <x v="134"/>
    <n v="146166.6011"/>
    <n v="157693.1893"/>
    <n v="4503"/>
    <n v="32.459827026426829"/>
    <n v="-11526.588199999998"/>
    <n v="-115.26588199999998"/>
    <n v="-2.5597575394181651"/>
  </r>
  <r>
    <x v="135"/>
    <n v="201120.72760000001"/>
    <n v="218098.76190000001"/>
    <n v="6253"/>
    <n v="32.163877754677756"/>
    <n v="-16978.034299999999"/>
    <n v="-169.78034299999999"/>
    <n v="-2.7151822005437389"/>
  </r>
  <r>
    <x v="136"/>
    <n v="270123.55080000003"/>
    <n v="289864.79849999998"/>
    <n v="8408"/>
    <n v="32.126968458610847"/>
    <n v="-19741.247699999949"/>
    <n v="-197.41247699999948"/>
    <n v="-2.3479124286393849"/>
  </r>
  <r>
    <x v="137"/>
    <n v="415315.38390000002"/>
    <n v="441790.7672"/>
    <n v="12949"/>
    <n v="32.073162707544988"/>
    <n v="-26475.383299999987"/>
    <n v="-264.75383299999987"/>
    <n v="-2.0445890261796267"/>
  </r>
  <r>
    <x v="138"/>
    <n v="498716.9976"/>
    <n v="526707.37699999998"/>
    <n v="15508"/>
    <n v="32.1586921330926"/>
    <n v="-27990.379399999976"/>
    <n v="-279.90379399999978"/>
    <n v="-1.8048993680680923"/>
  </r>
  <r>
    <x v="139"/>
    <n v="166433.1721"/>
    <n v="174376.63250000001"/>
    <n v="5141"/>
    <n v="32.373696187512159"/>
    <n v="-7943.4604000000108"/>
    <n v="-79.434604000000107"/>
    <n v="-1.5451197043376796"/>
  </r>
  <r>
    <x v="140"/>
    <n v="168520.62940000001"/>
    <n v="175540.11550000001"/>
    <n v="5194"/>
    <n v="32.445250173276861"/>
    <n v="-7019.4861000000092"/>
    <n v="-70.194861000000088"/>
    <n v="-1.3514605506353503"/>
  </r>
  <r>
    <x v="141"/>
    <n v="178123.53210000001"/>
    <n v="187748.1722"/>
    <n v="5550"/>
    <n v="32.09433010810811"/>
    <n v="-9624.6400999999896"/>
    <n v="-96.246400999999892"/>
    <n v="-1.7341693873873856"/>
  </r>
  <r>
    <x v="142"/>
    <n v="194878.8026"/>
    <n v="204460.6654"/>
    <n v="6070"/>
    <n v="32.105239308072484"/>
    <n v="-9581.8628000000026"/>
    <n v="-95.818628000000032"/>
    <n v="-1.5785605930807254"/>
  </r>
  <r>
    <x v="143"/>
    <n v="115475.0969"/>
    <n v="115011.3226"/>
    <n v="3421"/>
    <n v="33.754778398129204"/>
    <n v="463.77430000000459"/>
    <n v="4.6377430000000457"/>
    <n v="0.13556688102894024"/>
  </r>
  <r>
    <x v="144"/>
    <n v="430521.0245"/>
    <n v="449274.1863"/>
    <n v="13384"/>
    <n v="32.166842834728037"/>
    <n v="-18753.161800000002"/>
    <n v="-187.53161800000001"/>
    <n v="-1.4011627166766289"/>
  </r>
  <r>
    <x v="145"/>
    <n v="590642.82570000004"/>
    <n v="614245.79410000006"/>
    <n v="18356"/>
    <n v="32.177098806929614"/>
    <n v="-23602.968400000012"/>
    <n v="-236.02968400000012"/>
    <n v="-1.2858448681629993"/>
  </r>
  <r>
    <x v="146"/>
    <n v="210764.71799999999"/>
    <n v="217364.46299999999"/>
    <n v="6500"/>
    <n v="32.425341230769227"/>
    <n v="-6599.7449999999953"/>
    <n v="-65.997449999999958"/>
    <n v="-1.0153453846153839"/>
  </r>
  <r>
    <x v="147"/>
    <n v="218189.34849999999"/>
    <n v="225607.59520000001"/>
    <n v="6752"/>
    <n v="32.314773178317537"/>
    <n v="-7418.2467000000179"/>
    <n v="-74.182467000000173"/>
    <n v="-1.0986739780805714"/>
  </r>
  <r>
    <x v="148"/>
    <n v="226132.4639"/>
    <n v="234496.5128"/>
    <n v="7023"/>
    <n v="32.198841506478715"/>
    <n v="-8364.0488999999943"/>
    <n v="-83.640488999999945"/>
    <n v="-1.1909510038445101"/>
  </r>
  <r>
    <x v="149"/>
    <n v="243720.86799999999"/>
    <n v="252929.2947"/>
    <n v="7579"/>
    <n v="32.157391212561024"/>
    <n v="-9208.4267000000109"/>
    <n v="-92.084267000000111"/>
    <n v="-1.214992307692309"/>
  </r>
  <r>
    <x v="150"/>
    <n v="207429.429"/>
    <n v="215118.84650000001"/>
    <n v="6448"/>
    <n v="32.169576457816376"/>
    <n v="-7689.4175000000105"/>
    <n v="-76.894175000000104"/>
    <n v="-1.1925275279156344"/>
  </r>
  <r>
    <x v="151"/>
    <n v="503149.4313"/>
    <n v="521651.08610000001"/>
    <n v="15637"/>
    <n v="32.17685178103217"/>
    <n v="-18501.654800000018"/>
    <n v="-185.01654800000017"/>
    <n v="-1.1831972117413838"/>
  </r>
  <r>
    <x v="152"/>
    <n v="603748.78949999996"/>
    <n v="626259.38679999998"/>
    <n v="18775"/>
    <n v="32.157059360852195"/>
    <n v="-22510.597300000023"/>
    <n v="-225.10597300000023"/>
    <n v="-1.1989665672436762"/>
  </r>
  <r>
    <x v="153"/>
    <n v="456017.46309999999"/>
    <n v="473223.98070000001"/>
    <n v="14188"/>
    <n v="32.141067317451366"/>
    <n v="-17206.517600000021"/>
    <n v="-172.06517600000021"/>
    <n v="-1.212751451931211"/>
  </r>
  <r>
    <x v="154"/>
    <n v="425845.196"/>
    <n v="442155.99119999999"/>
    <n v="13256"/>
    <n v="32.124713035606518"/>
    <n v="-16310.795199999993"/>
    <n v="-163.10795199999993"/>
    <n v="-1.2304462281231134"/>
  </r>
  <r>
    <x v="155"/>
    <n v="328217.77"/>
    <n v="340913.59169999999"/>
    <n v="10223"/>
    <n v="32.105817274772576"/>
    <n v="-12695.821699999971"/>
    <n v="-126.95821699999971"/>
    <n v="-1.2418880661254006"/>
  </r>
  <r>
    <x v="156"/>
    <n v="286405.9988"/>
    <n v="296902.67249999999"/>
    <n v="8904"/>
    <n v="32.165992677448337"/>
    <n v="-10496.673699999985"/>
    <n v="-104.96673699999985"/>
    <n v="-1.1788717093441132"/>
  </r>
  <r>
    <x v="157"/>
    <n v="184989.88870000001"/>
    <n v="192824.89009999999"/>
    <n v="5783"/>
    <n v="31.988567992391495"/>
    <n v="-7835.0013999999792"/>
    <n v="-78.350013999999788"/>
    <n v="-1.3548333736814766"/>
  </r>
  <r>
    <x v="158"/>
    <n v="288118.30440000002"/>
    <n v="300213.55940000003"/>
    <n v="9005"/>
    <n v="31.995369727928932"/>
    <n v="-12095.255000000005"/>
    <n v="-120.95255000000004"/>
    <n v="-1.3431710161021659"/>
  </r>
  <r>
    <x v="159"/>
    <n v="391930.87800000003"/>
    <n v="407438.91960000002"/>
    <n v="12222"/>
    <n v="32.067654884634265"/>
    <n v="-15508.041599999997"/>
    <n v="-155.08041599999996"/>
    <n v="-1.2688628375061362"/>
  </r>
  <r>
    <x v="160"/>
    <n v="193772.58110000001"/>
    <n v="201254.71249999999"/>
    <n v="6037"/>
    <n v="32.097495626967039"/>
    <n v="-7482.1313999999838"/>
    <n v="-74.821313999999845"/>
    <n v="-1.2393790624482333"/>
  </r>
  <r>
    <x v="161"/>
    <n v="214177.9834"/>
    <n v="220255.21919999999"/>
    <n v="6607"/>
    <n v="32.416828121689115"/>
    <n v="-6077.2357999999949"/>
    <n v="-60.772357999999947"/>
    <n v="-0.91981773876191841"/>
  </r>
  <r>
    <x v="162"/>
    <n v="188334.52119999999"/>
    <n v="195254.78099999999"/>
    <n v="5857"/>
    <n v="32.155458630698305"/>
    <n v="-6920.2597999999998"/>
    <n v="-69.202597999999995"/>
    <n v="-1.1815365886972853"/>
  </r>
  <r>
    <x v="163"/>
    <n v="174324.99479999999"/>
    <n v="180978.601"/>
    <n v="5429"/>
    <n v="32.109964044943816"/>
    <n v="-6653.6062000000093"/>
    <n v="-66.536062000000086"/>
    <n v="-1.225567544667528"/>
  </r>
  <r>
    <x v="164"/>
    <n v="200271.5643"/>
    <n v="207757.70300000001"/>
    <n v="6232"/>
    <n v="32.136001973684209"/>
    <n v="-7486.1387000000104"/>
    <n v="-74.861387000000107"/>
    <n v="-1.2012417682926846"/>
  </r>
  <r>
    <x v="165"/>
    <n v="468701.63020000001"/>
    <n v="486180.54440000001"/>
    <n v="14585"/>
    <n v="32.135867685978745"/>
    <n v="-17478.914199999999"/>
    <n v="-174.789142"/>
    <n v="-1.1984171546109015"/>
  </r>
  <r>
    <x v="166"/>
    <n v="473425.75420000002"/>
    <n v="492135.29229999997"/>
    <n v="14745"/>
    <n v="32.107545215327228"/>
    <n v="-18709.538099999947"/>
    <n v="-187.09538099999946"/>
    <n v="-1.2688733875890097"/>
  </r>
  <r>
    <x v="167"/>
    <n v="224232.1214"/>
    <n v="233554.03219999999"/>
    <n v="6991"/>
    <n v="32.074398712630526"/>
    <n v="-9321.9107999999833"/>
    <n v="-93.219107999999835"/>
    <n v="-1.3334159347732775"/>
  </r>
  <r>
    <x v="168"/>
    <n v="185606.27499999999"/>
    <n v="193340.31539999999"/>
    <n v="5788"/>
    <n v="32.067428299930889"/>
    <n v="-7734.040399999998"/>
    <n v="-77.340403999999978"/>
    <n v="-1.3362198341395988"/>
  </r>
  <r>
    <x v="169"/>
    <n v="212687.50940000001"/>
    <n v="221403.64499999999"/>
    <n v="6632"/>
    <n v="32.069889837153198"/>
    <n v="-8716.1355999999796"/>
    <n v="-87.161355999999799"/>
    <n v="-1.3142544632086821"/>
  </r>
  <r>
    <x v="170"/>
    <n v="184259.6924"/>
    <n v="192057.51079999999"/>
    <n v="5752"/>
    <n v="32.034021627260081"/>
    <n v="-7797.8183999999892"/>
    <n v="-77.978183999999885"/>
    <n v="-1.3556707927677312"/>
  </r>
  <r>
    <x v="171"/>
    <n v="113735.8162"/>
    <n v="119544.01979999999"/>
    <n v="3578"/>
    <n v="31.787539463387368"/>
    <n v="-5808.2035999999935"/>
    <n v="-58.082035999999931"/>
    <n v="-1.6233101173840117"/>
  </r>
  <r>
    <x v="172"/>
    <n v="203165.08300000001"/>
    <n v="205350.64309999999"/>
    <n v="6119"/>
    <n v="33.202334204935447"/>
    <n v="-2185.5600999999733"/>
    <n v="-21.855600999999734"/>
    <n v="-0.35717602549435745"/>
  </r>
  <r>
    <x v="173"/>
    <n v="203345.24460000001"/>
    <n v="206918.91260000001"/>
    <n v="6161"/>
    <n v="33.00523366336634"/>
    <n v="-3573.6680000000051"/>
    <n v="-35.73668000000005"/>
    <n v="-0.58004674565817316"/>
  </r>
  <r>
    <x v="174"/>
    <n v="134944.489"/>
    <n v="135372.527"/>
    <n v="4015"/>
    <n v="33.610084433374844"/>
    <n v="-428.03800000000047"/>
    <n v="-4.2803800000000045"/>
    <n v="-0.10660971357409725"/>
  </r>
  <r>
    <x v="175"/>
    <n v="138298.2102"/>
    <n v="139206.0269"/>
    <n v="4133"/>
    <n v="33.461942947011856"/>
    <n v="-907.81669999999576"/>
    <n v="-9.0781669999999579"/>
    <n v="-0.21965078635373719"/>
  </r>
  <r>
    <x v="176"/>
    <n v="36692.679859999997"/>
    <n v="35299.06424"/>
    <n v="1047"/>
    <n v="35.04553950334288"/>
    <n v="1393.6156199999969"/>
    <n v="13.936156199999969"/>
    <n v="1.331055988538679"/>
  </r>
  <r>
    <x v="177"/>
    <n v="56077.542690000002"/>
    <n v="53925.25763"/>
    <n v="1601"/>
    <n v="35.026572573391633"/>
    <n v="2152.285060000002"/>
    <n v="21.522850600000019"/>
    <n v="1.344337951280451"/>
  </r>
  <r>
    <x v="178"/>
    <n v="55780.707450000002"/>
    <n v="53688.241199999997"/>
    <n v="1592"/>
    <n v="35.038132820351763"/>
    <n v="2092.4662500000049"/>
    <n v="20.92466250000005"/>
    <n v="1.3143632223618122"/>
  </r>
  <r>
    <x v="179"/>
    <n v="131721.2383"/>
    <n v="127302.4271"/>
    <n v="3759"/>
    <n v="35.041563793562119"/>
    <n v="4418.8111999999965"/>
    <n v="44.188111999999961"/>
    <n v="1.1755283852088312"/>
  </r>
  <r>
    <x v="180"/>
    <n v="146169.0766"/>
    <n v="141012.32939999999"/>
    <n v="4172"/>
    <n v="35.03573264621285"/>
    <n v="5156.7472000000125"/>
    <n v="51.567472000000123"/>
    <n v="1.2360372003835121"/>
  </r>
  <r>
    <x v="181"/>
    <n v="62073.58541"/>
    <n v="60083.869839999999"/>
    <n v="1772"/>
    <n v="35.03024007336343"/>
    <n v="1989.7155700000003"/>
    <n v="19.897155700000003"/>
    <n v="1.1228643171557564"/>
  </r>
  <r>
    <x v="182"/>
    <n v="93619.846990000005"/>
    <n v="90294.376090000005"/>
    <n v="2672"/>
    <n v="35.037367885479043"/>
    <n v="3325.4709000000003"/>
    <n v="33.254709000000005"/>
    <n v="1.2445624625748504"/>
  </r>
  <r>
    <x v="183"/>
    <n v="180183.03140000001"/>
    <n v="173842.9209"/>
    <n v="5143"/>
    <n v="35.034616255104027"/>
    <n v="6340.1105000000098"/>
    <n v="63.401105000000101"/>
    <n v="1.2327650204161014"/>
  </r>
  <r>
    <x v="184"/>
    <n v="104760.7062"/>
    <n v="101615.732"/>
    <n v="2990"/>
    <n v="35.037025484949829"/>
    <n v="3144.9741999999969"/>
    <n v="31.449741999999969"/>
    <n v="1.0518308361204003"/>
  </r>
  <r>
    <x v="185"/>
    <n v="93450.533679999993"/>
    <n v="90927.089659999998"/>
    <n v="2667"/>
    <n v="35.039570183727029"/>
    <n v="2523.4440199999954"/>
    <n v="25.234440199999952"/>
    <n v="0.9461732358455176"/>
  </r>
  <r>
    <x v="186"/>
    <n v="98087.555900000007"/>
    <n v="95423.273990000002"/>
    <n v="2799"/>
    <n v="35.043785602000717"/>
    <n v="2664.2819100000052"/>
    <n v="26.64281910000005"/>
    <n v="0.95186920685959453"/>
  </r>
  <r>
    <x v="187"/>
    <n v="117562.2629"/>
    <n v="114395.62760000001"/>
    <n v="3355"/>
    <n v="35.040912935916545"/>
    <n v="3166.6352999999945"/>
    <n v="31.666352999999944"/>
    <n v="0.94385552906110115"/>
  </r>
  <r>
    <x v="188"/>
    <n v="70153.080969999995"/>
    <n v="68252.242209999997"/>
    <n v="2002"/>
    <n v="35.041498986013984"/>
    <n v="1900.8387599999987"/>
    <n v="19.008387599999988"/>
    <n v="0.94946991008990944"/>
  </r>
  <r>
    <x v="189"/>
    <n v="68918.415290000004"/>
    <n v="66990.881349999996"/>
    <n v="1967"/>
    <n v="35.0373234824606"/>
    <n v="1927.5339400000084"/>
    <n v="19.275339400000085"/>
    <n v="0.97993591255719803"/>
  </r>
  <r>
    <x v="190"/>
    <n v="108417.4028"/>
    <n v="105373.3"/>
    <n v="3094"/>
    <n v="35.04117737556561"/>
    <n v="3044.1027999999933"/>
    <n v="30.441027999999932"/>
    <n v="0.98387291531997201"/>
  </r>
  <r>
    <x v="191"/>
    <n v="81802.608210000006"/>
    <n v="79496.49424"/>
    <n v="2335"/>
    <n v="35.033236920770882"/>
    <n v="2306.1139700000058"/>
    <n v="23.061139700000059"/>
    <n v="0.9876291092077113"/>
  </r>
  <r>
    <x v="192"/>
    <n v="103998.5597"/>
    <n v="101270.9711"/>
    <n v="2968"/>
    <n v="35.039945990566039"/>
    <n v="2727.5886000000028"/>
    <n v="27.275886000000028"/>
    <n v="0.91899885444744034"/>
  </r>
  <r>
    <x v="193"/>
    <n v="134018.08929999999"/>
    <n v="130633.26270000001"/>
    <n v="3825"/>
    <n v="35.03740896732026"/>
    <n v="3384.8265999999858"/>
    <n v="33.84826599999986"/>
    <n v="0.88492198692810087"/>
  </r>
  <r>
    <x v="194"/>
    <n v="99277.299499999994"/>
    <n v="96688.497810000001"/>
    <n v="2833"/>
    <n v="35.043169608189196"/>
    <n v="2588.801689999993"/>
    <n v="25.888016899999929"/>
    <n v="0.91380222026120472"/>
  </r>
  <r>
    <x v="195"/>
    <n v="49705.232000000004"/>
    <n v="48370.308989999998"/>
    <n v="1419"/>
    <n v="35.028352360817479"/>
    <n v="1334.9230100000059"/>
    <n v="13.349230100000058"/>
    <n v="0.94074912614517681"/>
  </r>
  <r>
    <x v="196"/>
    <n v="75384.574550000005"/>
    <n v="73393.446590000007"/>
    <n v="2151"/>
    <n v="35.046292212924222"/>
    <n v="1991.127959999998"/>
    <n v="19.911279599999979"/>
    <n v="0.92567548117154719"/>
  </r>
  <r>
    <x v="197"/>
    <n v="110288.23420000001"/>
    <n v="107437.38099999999"/>
    <n v="3148"/>
    <n v="35.034381893265568"/>
    <n v="2850.8532000000123"/>
    <n v="28.508532000000123"/>
    <n v="0.90560775095298995"/>
  </r>
  <r>
    <x v="198"/>
    <n v="156536.6862"/>
    <n v="164641.35399999999"/>
    <n v="4825"/>
    <n v="32.442836518134712"/>
    <n v="-8104.6677999999956"/>
    <n v="-81.046677999999957"/>
    <n v="-1.6797238963730561"/>
  </r>
  <r>
    <x v="199"/>
    <n v="80823.059200000003"/>
    <n v="78844.860499999995"/>
    <n v="2307"/>
    <n v="35.033835804074556"/>
    <n v="1978.1987000000081"/>
    <n v="19.781987000000083"/>
    <n v="0.8574766796705714"/>
  </r>
  <r>
    <x v="200"/>
    <n v="124615.6856"/>
    <n v="121612.1789"/>
    <n v="3557"/>
    <n v="35.033929041326957"/>
    <n v="3003.5066999999981"/>
    <n v="30.03506699999998"/>
    <n v="0.84439322462749455"/>
  </r>
  <r>
    <x v="201"/>
    <n v="242758.95050000001"/>
    <n v="255779.85449999999"/>
    <n v="7485"/>
    <n v="32.432725517702075"/>
    <n v="-13020.90399999998"/>
    <n v="-130.20903999999982"/>
    <n v="-1.7395997327989285"/>
  </r>
  <r>
    <x v="202"/>
    <n v="85078.243690000003"/>
    <n v="83020.514129999996"/>
    <n v="2428"/>
    <n v="35.040462804777597"/>
    <n v="2057.729560000007"/>
    <n v="20.57729560000007"/>
    <n v="0.84749981878089253"/>
  </r>
  <r>
    <x v="203"/>
    <n v="86738.067429999996"/>
    <n v="84643.271829999998"/>
    <n v="2475"/>
    <n v="35.045683810101011"/>
    <n v="2094.7955999999976"/>
    <n v="20.947955999999976"/>
    <n v="0.84638206060605969"/>
  </r>
  <r>
    <x v="204"/>
    <n v="56673.615810000003"/>
    <n v="55278.707829999999"/>
    <n v="1618"/>
    <n v="35.026956619283069"/>
    <n v="1394.9079800000036"/>
    <n v="13.949079800000035"/>
    <n v="0.86211865265760423"/>
  </r>
  <r>
    <x v="205"/>
    <n v="165742.17050000001"/>
    <n v="173725.35750000001"/>
    <n v="5106"/>
    <n v="32.460276243634944"/>
    <n v="-7983.1870000000054"/>
    <n v="-79.831870000000052"/>
    <n v="-1.5634913826870358"/>
  </r>
  <r>
    <x v="206"/>
    <n v="95618.248800000001"/>
    <n v="92416.903839999999"/>
    <n v="2729"/>
    <n v="35.037833931843167"/>
    <n v="3201.3449600000022"/>
    <n v="32.013449600000023"/>
    <n v="1.1730835324294622"/>
  </r>
  <r>
    <x v="207"/>
    <n v="515698.79580000002"/>
    <n v="538260.27179999999"/>
    <n v="15897"/>
    <n v="32.440007284393282"/>
    <n v="-22561.475999999966"/>
    <n v="-225.61475999999965"/>
    <n v="-1.419228533685599"/>
  </r>
  <r>
    <x v="208"/>
    <n v="562590.3665"/>
    <n v="586670.51410000003"/>
    <n v="17343"/>
    <n v="32.43904552268927"/>
    <n v="-24080.147600000026"/>
    <n v="-240.80147600000026"/>
    <n v="-1.3884649483941662"/>
  </r>
  <r>
    <x v="209"/>
    <n v="266305.92589999997"/>
    <n v="277238.01040000003"/>
    <n v="8207"/>
    <n v="32.448632374801996"/>
    <n v="-10932.084500000055"/>
    <n v="-109.32084500000056"/>
    <n v="-1.332043925916907"/>
  </r>
  <r>
    <x v="210"/>
    <n v="292634.74570000003"/>
    <n v="304508.37900000002"/>
    <n v="9018"/>
    <n v="32.450071601241966"/>
    <n v="-11873.633299999987"/>
    <n v="-118.73633299999987"/>
    <n v="-1.316659270348191"/>
  </r>
  <r>
    <x v="211"/>
    <n v="212360.99309999999"/>
    <n v="221017.07310000001"/>
    <n v="6548"/>
    <n v="32.431428390348195"/>
    <n v="-8656.0800000000163"/>
    <n v="-86.560800000000157"/>
    <n v="-1.32194257788638"/>
  </r>
  <r>
    <x v="212"/>
    <n v="198019.3321"/>
    <n v="205903.82490000001"/>
    <n v="6102"/>
    <n v="32.451545739101931"/>
    <n v="-7884.4928000000073"/>
    <n v="-78.844928000000067"/>
    <n v="-1.2921161586365137"/>
  </r>
  <r>
    <x v="213"/>
    <n v="295508.3273"/>
    <n v="307222.39539999998"/>
    <n v="9108"/>
    <n v="32.444919554238034"/>
    <n v="-11714.068099999975"/>
    <n v="-117.14068099999974"/>
    <n v="-1.2861295674132602"/>
  </r>
  <r>
    <x v="214"/>
    <n v="611894.67319999996"/>
    <n v="636341.31590000005"/>
    <n v="18867"/>
    <n v="32.432006847935547"/>
    <n v="-24446.642700000084"/>
    <n v="-244.46642700000083"/>
    <n v="-1.2957355541421574"/>
  </r>
  <r>
    <x v="215"/>
    <n v="628685.21880000003"/>
    <n v="653779.96349999995"/>
    <n v="19384"/>
    <n v="32.433203611225757"/>
    <n v="-25094.744699999923"/>
    <n v="-250.94744699999922"/>
    <n v="-1.2946112618654522"/>
  </r>
  <r>
    <x v="216"/>
    <n v="307272.68369999999"/>
    <n v="319500.00949999999"/>
    <n v="9473"/>
    <n v="32.436681484218305"/>
    <n v="-12227.325799999991"/>
    <n v="-122.27325799999991"/>
    <n v="-1.2907553890003158"/>
  </r>
  <r>
    <x v="217"/>
    <n v="362106.53259999998"/>
    <n v="376645.75089999998"/>
    <n v="11170"/>
    <n v="32.417773733213963"/>
    <n v="-14539.218300000008"/>
    <n v="-145.39218300000007"/>
    <n v="-1.301631002685766"/>
  </r>
  <r>
    <x v="218"/>
    <n v="262349.59100000001"/>
    <n v="272809.2904"/>
    <n v="8091"/>
    <n v="32.424866023977259"/>
    <n v="-10459.699399999983"/>
    <n v="-104.59699399999982"/>
    <n v="-1.2927573105920138"/>
  </r>
  <r>
    <x v="219"/>
    <n v="80697.9035"/>
    <n v="77649.636530000003"/>
    <n v="2303"/>
    <n v="35.040340208423792"/>
    <n v="3048.2669699999969"/>
    <n v="30.48266969999997"/>
    <n v="1.3236070212765945"/>
  </r>
  <r>
    <x v="220"/>
    <n v="103272.62270000001"/>
    <n v="99367.233219999995"/>
    <n v="2947"/>
    <n v="35.043305972175098"/>
    <n v="3905.3894800000126"/>
    <n v="39.053894800000123"/>
    <n v="1.3252085103495121"/>
  </r>
  <r>
    <x v="221"/>
    <n v="439421.42210000003"/>
    <n v="456509.62190000003"/>
    <n v="13542"/>
    <n v="32.44878320041353"/>
    <n v="-17088.199800000002"/>
    <n v="-170.88199800000001"/>
    <n v="-1.2618667700487374"/>
  </r>
  <r>
    <x v="222"/>
    <n v="408616.35060000001"/>
    <n v="424340.94939999998"/>
    <n v="12588"/>
    <n v="32.460784127740709"/>
    <n v="-15724.598799999978"/>
    <n v="-157.24598799999978"/>
    <n v="-1.2491737210041292"/>
  </r>
  <r>
    <x v="223"/>
    <n v="195866.77299999999"/>
    <n v="203331.43479999999"/>
    <n v="6032"/>
    <n v="32.471281996021219"/>
    <n v="-7464.6618000000017"/>
    <n v="-74.646618000000018"/>
    <n v="-1.2375102453580904"/>
  </r>
  <r>
    <x v="224"/>
    <n v="232347.35320000001"/>
    <n v="241134.52780000001"/>
    <n v="7158"/>
    <n v="32.459814640961163"/>
    <n v="-8787.1745999999985"/>
    <n v="-87.871745999999987"/>
    <n v="-1.2276019279128245"/>
  </r>
  <r>
    <x v="225"/>
    <n v="190325.18109999999"/>
    <n v="197438.1116"/>
    <n v="5863"/>
    <n v="32.462081033600541"/>
    <n v="-7112.9305000000168"/>
    <n v="-71.129305000000173"/>
    <n v="-1.2131895787139719"/>
  </r>
  <r>
    <x v="226"/>
    <n v="197698.11859999999"/>
    <n v="205114.12890000001"/>
    <n v="6092"/>
    <n v="32.452087754432043"/>
    <n v="-7416.0103000000236"/>
    <n v="-74.160103000000234"/>
    <n v="-1.2173358995403847"/>
  </r>
  <r>
    <x v="227"/>
    <n v="177908.83559999999"/>
    <n v="184687.52910000001"/>
    <n v="5485"/>
    <n v="32.435521531449403"/>
    <n v="-6778.6935000000231"/>
    <n v="-67.786935000000227"/>
    <n v="-1.2358602552415721"/>
  </r>
  <r>
    <x v="228"/>
    <n v="473321.88250000001"/>
    <n v="491559.42300000001"/>
    <n v="14587"/>
    <n v="32.448199252759309"/>
    <n v="-18237.540500000003"/>
    <n v="-182.37540500000003"/>
    <n v="-1.2502598546651129"/>
  </r>
  <r>
    <x v="229"/>
    <n v="541600.8922"/>
    <n v="562953.37080000003"/>
    <n v="16686"/>
    <n v="32.458401785928324"/>
    <n v="-21352.478600000031"/>
    <n v="-213.52478600000032"/>
    <n v="-1.2796643054057313"/>
  </r>
  <r>
    <x v="230"/>
    <n v="239513.97899999999"/>
    <n v="249203.1208"/>
    <n v="7380"/>
    <n v="32.45446869918699"/>
    <n v="-9689.1418000000122"/>
    <n v="-96.891418000000115"/>
    <n v="-1.3128918428184297"/>
  </r>
  <r>
    <x v="231"/>
    <n v="255224.22260000001"/>
    <n v="265532.54619999998"/>
    <n v="7864"/>
    <n v="32.454758723296031"/>
    <n v="-10308.323599999974"/>
    <n v="-103.08323599999974"/>
    <n v="-1.3108244659206478"/>
  </r>
  <r>
    <x v="232"/>
    <n v="160372.03969999999"/>
    <n v="167021.15779999999"/>
    <n v="4941"/>
    <n v="32.457405322809144"/>
    <n v="-6649.1180999999924"/>
    <n v="-66.491180999999926"/>
    <n v="-1.3457029143897981"/>
  </r>
  <r>
    <x v="233"/>
    <n v="171587.33230000001"/>
    <n v="174723.17540000001"/>
    <n v="5151"/>
    <n v="33.311460357212191"/>
    <n v="-3135.8430999999982"/>
    <n v="-31.358430999999982"/>
    <n v="-0.60878336245389209"/>
  </r>
  <r>
    <x v="234"/>
    <n v="164208.0606"/>
    <n v="167239.6488"/>
    <n v="4928"/>
    <n v="33.321440868506492"/>
    <n v="-3031.5881999999983"/>
    <n v="-30.315881999999984"/>
    <n v="-0.6151761769480516"/>
  </r>
  <r>
    <x v="235"/>
    <n v="376778.8357"/>
    <n v="384006.0453"/>
    <n v="11309"/>
    <n v="33.316724352285789"/>
    <n v="-7227.209600000002"/>
    <n v="-72.272096000000019"/>
    <n v="-0.63906707931735807"/>
  </r>
  <r>
    <x v="236"/>
    <n v="453633.47399999999"/>
    <n v="463250.07130000001"/>
    <n v="13613"/>
    <n v="33.323549107470797"/>
    <n v="-9616.5973000000231"/>
    <n v="-96.165973000000236"/>
    <n v="-0.70642748108425935"/>
  </r>
  <r>
    <x v="237"/>
    <n v="214392.40090000001"/>
    <n v="218347.7978"/>
    <n v="6424"/>
    <n v="33.37366141033624"/>
    <n v="-3955.3968999999925"/>
    <n v="-39.553968999999924"/>
    <n v="-0.61572180884184191"/>
  </r>
  <r>
    <x v="238"/>
    <n v="316404.06229999999"/>
    <n v="323293.39659999998"/>
    <n v="9493"/>
    <n v="33.330249899926258"/>
    <n v="-6889.3342999999877"/>
    <n v="-68.893342999999874"/>
    <n v="-0.72572783103339178"/>
  </r>
  <r>
    <x v="239"/>
    <n v="242824.5013"/>
    <n v="259860.51250000001"/>
    <n v="7619"/>
    <n v="31.87091498884368"/>
    <n v="-17036.011200000008"/>
    <n v="-170.36011200000007"/>
    <n v="-2.2359904449402821"/>
  </r>
  <r>
    <x v="240"/>
    <n v="274712.25329999998"/>
    <n v="304334.78460000001"/>
    <n v="8909"/>
    <n v="30.835363486362105"/>
    <n v="-29622.531300000031"/>
    <n v="-296.22531300000031"/>
    <n v="-3.3250119317544091"/>
  </r>
  <r>
    <x v="241"/>
    <n v="258066.16940000001"/>
    <n v="287168.5661"/>
    <n v="8400"/>
    <n v="30.722163023809525"/>
    <n v="-29102.396699999983"/>
    <n v="-291.02396699999986"/>
    <n v="-3.4645710357142838"/>
  </r>
  <r>
    <x v="242"/>
    <n v="594007.2132"/>
    <n v="660937.80480000004"/>
    <n v="19317"/>
    <n v="30.750489889734432"/>
    <n v="-66930.591600000043"/>
    <n v="-669.30591600000048"/>
    <n v="-3.4648543562665033"/>
  </r>
  <r>
    <x v="243"/>
    <n v="717096.71279999998"/>
    <n v="797788.89199999999"/>
    <n v="23310"/>
    <n v="30.763479742599742"/>
    <n v="-80692.179200000013"/>
    <n v="-806.9217920000001"/>
    <n v="-3.4616979493779501"/>
  </r>
  <r>
    <x v="244"/>
    <n v="358170.9963"/>
    <n v="398562.60739999998"/>
    <n v="11646"/>
    <n v="30.754851133436372"/>
    <n v="-40391.61109999998"/>
    <n v="-403.91611099999977"/>
    <n v="-3.4682819079512264"/>
  </r>
  <r>
    <x v="245"/>
    <n v="594953.63489999995"/>
    <n v="662850.99080000003"/>
    <n v="19366"/>
    <n v="30.721555039760403"/>
    <n v="-67897.355900000082"/>
    <n v="-678.97355900000082"/>
    <n v="-3.5060082567386184"/>
  </r>
  <r>
    <x v="246"/>
    <n v="469469.94099999999"/>
    <n v="523480.30330000003"/>
    <n v="15291"/>
    <n v="30.702370086979268"/>
    <n v="-54010.362300000037"/>
    <n v="-540.10362300000043"/>
    <n v="-3.5321667843829729"/>
  </r>
  <r>
    <x v="247"/>
    <n v="464067.79930000001"/>
    <n v="517180.54330000002"/>
    <n v="15100"/>
    <n v="30.732966841059604"/>
    <n v="-53112.744000000006"/>
    <n v="-531.12744000000009"/>
    <n v="-3.5174002649006626"/>
  </r>
  <r>
    <x v="248"/>
    <n v="312311.95400000003"/>
    <n v="348177.12050000002"/>
    <n v="10164"/>
    <n v="30.727268201495477"/>
    <n v="-35865.166499999992"/>
    <n v="-358.65166499999992"/>
    <n v="-3.5286468417945684"/>
  </r>
  <r>
    <x v="249"/>
    <n v="501279.00040000002"/>
    <n v="558766.69030000002"/>
    <n v="16310"/>
    <n v="30.734457412630288"/>
    <n v="-57487.689899999998"/>
    <n v="-574.87689899999998"/>
    <n v="-3.524689754751686"/>
  </r>
  <r>
    <x v="250"/>
    <n v="552703.90379999997"/>
    <n v="616169.85140000004"/>
    <n v="17985"/>
    <n v="30.731381918265221"/>
    <n v="-63465.947600000072"/>
    <n v="-634.65947600000072"/>
    <n v="-3.5288266666666708"/>
  </r>
  <r>
    <x v="251"/>
    <n v="234153.7622"/>
    <n v="261088.38639999999"/>
    <n v="7620"/>
    <n v="30.728840183727034"/>
    <n v="-26934.624199999991"/>
    <n v="-269.3462419999999"/>
    <n v="-3.5347275853018361"/>
  </r>
  <r>
    <x v="252"/>
    <n v="244481.49770000001"/>
    <n v="272633.39980000001"/>
    <n v="7958"/>
    <n v="30.721474956019101"/>
    <n v="-28151.902100000007"/>
    <n v="-281.51902100000007"/>
    <n v="-3.5375599522493095"/>
  </r>
  <r>
    <x v="253"/>
    <n v="122749.63529999999"/>
    <n v="120070.95020000001"/>
    <n v="3503"/>
    <n v="35.041288980873539"/>
    <n v="2678.6850999999879"/>
    <n v="26.786850999999878"/>
    <n v="0.7646831572937447"/>
  </r>
  <r>
    <x v="254"/>
    <n v="78736.402839999995"/>
    <n v="77071.542709999994"/>
    <n v="2247"/>
    <n v="35.040677721406318"/>
    <n v="1664.8601300000009"/>
    <n v="16.64860130000001"/>
    <n v="0.74092573653760607"/>
  </r>
  <r>
    <x v="255"/>
    <n v="70875.110669999995"/>
    <n v="69489.360849999997"/>
    <n v="2023"/>
    <n v="35.03465678200692"/>
    <n v="1385.7498199999973"/>
    <n v="13.857498199999974"/>
    <n v="0.68499743944636549"/>
  </r>
  <r>
    <x v="256"/>
    <n v="148634.39139999999"/>
    <n v="145956.1397"/>
    <n v="4242"/>
    <n v="35.038753276756246"/>
    <n v="2678.2516999999934"/>
    <n v="26.782516999999935"/>
    <n v="0.631365322960866"/>
  </r>
  <r>
    <x v="257"/>
    <n v="171724.82879999999"/>
    <n v="168652.20360000001"/>
    <n v="4901"/>
    <n v="35.038732666802694"/>
    <n v="3072.6251999999804"/>
    <n v="30.726251999999803"/>
    <n v="0.62693842073045913"/>
  </r>
  <r>
    <x v="258"/>
    <n v="86435.698829999994"/>
    <n v="84948.374580000003"/>
    <n v="2467"/>
    <n v="35.036764827725982"/>
    <n v="1487.3242499999906"/>
    <n v="14.873242499999906"/>
    <n v="0.60288781921361601"/>
  </r>
  <r>
    <x v="259"/>
    <n v="120236.1827"/>
    <n v="118094.0432"/>
    <n v="3432"/>
    <n v="35.033852768065266"/>
    <n v="2142.1395000000048"/>
    <n v="21.421395000000047"/>
    <n v="0.62416652097902237"/>
  </r>
  <r>
    <x v="260"/>
    <n v="83204.196689999997"/>
    <n v="81753.424589999995"/>
    <n v="2375"/>
    <n v="35.033345974736839"/>
    <n v="1450.772100000002"/>
    <n v="14.50772100000002"/>
    <n v="0.61085141052631664"/>
  </r>
  <r>
    <x v="261"/>
    <n v="73768.034729999999"/>
    <n v="72471.919320000001"/>
    <n v="2105"/>
    <n v="35.04419702137767"/>
    <n v="1296.1154099999985"/>
    <n v="12.961154099999986"/>
    <n v="0.61573178622327718"/>
  </r>
  <r>
    <x v="262"/>
    <n v="69425.445120000004"/>
    <n v="68280.383279999995"/>
    <n v="1982"/>
    <n v="35.027974328960646"/>
    <n v="1145.0618400000094"/>
    <n v="11.450618400000094"/>
    <n v="0.5777304944500552"/>
  </r>
  <r>
    <x v="263"/>
    <n v="137154.9541"/>
    <n v="135276.90960000001"/>
    <n v="3915"/>
    <n v="35.033193895274586"/>
    <n v="1878.0444999999891"/>
    <n v="18.78044499999989"/>
    <n v="0.47970485312898825"/>
  </r>
  <r>
    <x v="264"/>
    <n v="153569.0619"/>
    <n v="151376.13560000001"/>
    <n v="4383"/>
    <n v="35.037431416837784"/>
    <n v="2192.9262999999919"/>
    <n v="21.929262999999921"/>
    <n v="0.50032541638147199"/>
  </r>
  <r>
    <x v="265"/>
    <n v="75633.320590000003"/>
    <n v="74546.668250000002"/>
    <n v="2159"/>
    <n v="35.031644553033814"/>
    <n v="1086.6523400000005"/>
    <n v="10.866523400000005"/>
    <n v="0.50331280222325181"/>
  </r>
  <r>
    <x v="266"/>
    <n v="90815.929810000001"/>
    <n v="89653.637589999998"/>
    <n v="2592"/>
    <n v="35.037009957561729"/>
    <n v="1162.292220000003"/>
    <n v="11.62292220000003"/>
    <n v="0.44841520833333448"/>
  </r>
  <r>
    <x v="267"/>
    <n v="110118.15640000001"/>
    <n v="108880.409"/>
    <n v="3143"/>
    <n v="35.03600267260579"/>
    <n v="1237.7474000000075"/>
    <n v="12.377474000000074"/>
    <n v="0.3938108176901074"/>
  </r>
  <r>
    <x v="268"/>
    <n v="209908.38310000001"/>
    <n v="223554.08660000001"/>
    <n v="6457"/>
    <n v="32.508654653864028"/>
    <n v="-13645.703500000003"/>
    <n v="-136.45703500000002"/>
    <n v="-2.1133194207836463"/>
  </r>
  <r>
    <x v="269"/>
    <n v="358365.68300000002"/>
    <n v="382967.98320000002"/>
    <n v="11039"/>
    <n v="32.463600235528581"/>
    <n v="-24602.300199999998"/>
    <n v="-246.02300199999999"/>
    <n v="-2.2286710933961409"/>
  </r>
  <r>
    <x v="270"/>
    <n v="585463.99600000004"/>
    <n v="625980.93019999994"/>
    <n v="18036"/>
    <n v="32.460855843867819"/>
    <n v="-40516.934199999901"/>
    <n v="-405.16934199999901"/>
    <n v="-2.2464478931026779"/>
  </r>
  <r>
    <x v="271"/>
    <n v="617019.09149999998"/>
    <n v="661010.59129999997"/>
    <n v="19017"/>
    <n v="32.445658700110428"/>
    <n v="-43991.499799999991"/>
    <n v="-439.91499799999991"/>
    <n v="-2.3132723247620546"/>
  </r>
  <r>
    <x v="272"/>
    <n v="283850.59710000001"/>
    <n v="304440.65149999998"/>
    <n v="8747"/>
    <n v="32.451194363781873"/>
    <n v="-20590.054399999965"/>
    <n v="-205.90054399999966"/>
    <n v="-2.3539561449639836"/>
  </r>
  <r>
    <x v="273"/>
    <n v="264317.11040000001"/>
    <n v="283912.96870000003"/>
    <n v="8147"/>
    <n v="32.443489677181788"/>
    <n v="-19595.858300000022"/>
    <n v="-195.9585830000002"/>
    <n v="-2.4052851724561215"/>
  </r>
  <r>
    <x v="274"/>
    <n v="358024.98129999998"/>
    <n v="384823.4399"/>
    <n v="11036"/>
    <n v="32.441553216745199"/>
    <n v="-26798.458600000013"/>
    <n v="-267.98458600000015"/>
    <n v="-2.4282764226168911"/>
  </r>
  <r>
    <x v="275"/>
    <n v="594438.28079999995"/>
    <n v="639306.56880000001"/>
    <n v="18330"/>
    <n v="32.429802553191486"/>
    <n v="-44868.288000000059"/>
    <n v="-448.68288000000058"/>
    <n v="-2.4478062193126053"/>
  </r>
  <r>
    <x v="276"/>
    <n v="470507.663"/>
    <n v="506072.03330000001"/>
    <n v="14503"/>
    <n v="32.442092187823206"/>
    <n v="-35564.37030000001"/>
    <n v="-355.64370300000007"/>
    <n v="-2.4522078397572922"/>
  </r>
  <r>
    <x v="277"/>
    <n v="518693.52870000002"/>
    <n v="557939.36930000002"/>
    <n v="15986"/>
    <n v="32.446736438133371"/>
    <n v="-39245.840599999996"/>
    <n v="-392.45840599999997"/>
    <n v="-2.4550131740272736"/>
  </r>
  <r>
    <x v="278"/>
    <n v="656245.8284"/>
    <n v="705891.3003"/>
    <n v="20223"/>
    <n v="32.450468694061215"/>
    <n v="-49645.471900000004"/>
    <n v="-496.45471900000007"/>
    <n v="-2.4549014439005097"/>
  </r>
  <r>
    <x v="279"/>
    <n v="280055.1177"/>
    <n v="301279.65500000003"/>
    <n v="8631"/>
    <n v="32.447586339937438"/>
    <n v="-21224.537300000025"/>
    <n v="-212.24537300000026"/>
    <n v="-2.4591052369366269"/>
  </r>
  <r>
    <x v="280"/>
    <n v="375648.01750000002"/>
    <n v="404178.92109999998"/>
    <n v="11579"/>
    <n v="32.442181319630365"/>
    <n v="-28530.903599999961"/>
    <n v="-285.30903599999959"/>
    <n v="-2.4640213835391624"/>
  </r>
  <r>
    <x v="281"/>
    <n v="78111.716459999996"/>
    <n v="74251.874729999996"/>
    <n v="2127"/>
    <n v="36.723891142454157"/>
    <n v="3859.8417300000001"/>
    <n v="38.598417300000001"/>
    <n v="1.8146881664315939"/>
  </r>
  <r>
    <x v="282"/>
    <n v="70509.132790000003"/>
    <n v="67141.979630000002"/>
    <n v="1923"/>
    <n v="36.66621569942798"/>
    <n v="3367.1531600000017"/>
    <n v="33.671531600000016"/>
    <n v="1.7509896827873124"/>
  </r>
  <r>
    <x v="283"/>
    <n v="103281.311"/>
    <n v="98065.939079999996"/>
    <n v="2809"/>
    <n v="36.767999644001428"/>
    <n v="5215.371920000005"/>
    <n v="52.153719200000047"/>
    <n v="1.8566649768600945"/>
  </r>
  <r>
    <x v="284"/>
    <n v="179841.43179999999"/>
    <n v="170757.58119999999"/>
    <n v="4891"/>
    <n v="36.769869515436511"/>
    <n v="9083.8506000000052"/>
    <n v="90.838506000000052"/>
    <n v="1.8572583520752413"/>
  </r>
  <r>
    <x v="285"/>
    <n v="138038.23980000001"/>
    <n v="131192.3168"/>
    <n v="3758"/>
    <n v="36.731836029803091"/>
    <n v="6845.9230000000098"/>
    <n v="68.459230000000105"/>
    <n v="1.8216931878658886"/>
  </r>
  <r>
    <x v="286"/>
    <n v="61037.562230000003"/>
    <n v="57992.341509999998"/>
    <n v="1661"/>
    <n v="36.747478765803734"/>
    <n v="3045.2207200000048"/>
    <n v="30.452207200000046"/>
    <n v="1.8333658759783291"/>
  </r>
  <r>
    <x v="287"/>
    <n v="86799.759449999998"/>
    <n v="82392.333259999999"/>
    <n v="2360"/>
    <n v="36.779559088983049"/>
    <n v="4407.4261899999983"/>
    <n v="44.074261899999982"/>
    <n v="1.8675534703389824"/>
  </r>
  <r>
    <x v="288"/>
    <n v="69570.501470000003"/>
    <n v="66313.940979999999"/>
    <n v="1894"/>
    <n v="36.73204935058078"/>
    <n v="3256.5604900000035"/>
    <n v="32.565604900000032"/>
    <n v="1.7194089176346374"/>
  </r>
  <r>
    <x v="289"/>
    <n v="130476.3553"/>
    <n v="124398.4316"/>
    <n v="3548"/>
    <n v="36.77462099774521"/>
    <n v="6077.9236999999994"/>
    <n v="60.779236999999995"/>
    <n v="1.713056285231116"/>
  </r>
  <r>
    <x v="290"/>
    <n v="95229.773480000003"/>
    <n v="91087.851339999994"/>
    <n v="2591"/>
    <n v="36.754061551524508"/>
    <n v="4141.9221400000097"/>
    <n v="41.419221400000097"/>
    <n v="1.5985805248938671"/>
  </r>
  <r>
    <x v="291"/>
    <n v="121057.8613"/>
    <n v="116949.7913"/>
    <n v="3293"/>
    <n v="36.76218077740662"/>
    <n v="4108.070000000007"/>
    <n v="41.080700000000071"/>
    <n v="1.2475159429092035"/>
  </r>
  <r>
    <x v="292"/>
    <n v="169498.91639999999"/>
    <n v="164492.9466"/>
    <n v="4611"/>
    <n v="36.759686922576442"/>
    <n v="5005.9697999999917"/>
    <n v="50.059697999999919"/>
    <n v="1.0856581652569923"/>
  </r>
  <r>
    <x v="293"/>
    <n v="90692.375880000007"/>
    <n v="87911.211580000003"/>
    <n v="2468"/>
    <n v="36.747315996758509"/>
    <n v="2781.164300000004"/>
    <n v="27.811643000000039"/>
    <n v="1.1268899108589967"/>
  </r>
  <r>
    <x v="294"/>
    <n v="101723.91499999999"/>
    <n v="98870.811879999994"/>
    <n v="2773"/>
    <n v="36.68370537324197"/>
    <n v="2853.1031199999998"/>
    <n v="28.531031199999997"/>
    <n v="1.0288868085106382"/>
  </r>
  <r>
    <x v="295"/>
    <n v="103395.69130000001"/>
    <n v="100424.1557"/>
    <n v="2815"/>
    <n v="36.730263339254002"/>
    <n v="2971.5356000000029"/>
    <n v="29.715356000000028"/>
    <n v="1.0556076731793971"/>
  </r>
  <r>
    <x v="296"/>
    <n v="99075.599100000007"/>
    <n v="96511.722160000005"/>
    <n v="2701"/>
    <n v="36.681080747871164"/>
    <n v="2563.8769400000019"/>
    <n v="25.638769400000019"/>
    <n v="0.94923248426508766"/>
  </r>
  <r>
    <x v="297"/>
    <n v="97476.144719999997"/>
    <n v="94763.842550000001"/>
    <n v="2651"/>
    <n v="36.769575526216521"/>
    <n v="2712.3021699999954"/>
    <n v="27.123021699999953"/>
    <n v="1.0231241682383989"/>
  </r>
  <r>
    <x v="298"/>
    <n v="248974.65280000001"/>
    <n v="241961.14319999999"/>
    <n v="6781"/>
    <n v="36.716509777318983"/>
    <n v="7013.5096000000194"/>
    <n v="70.135096000000189"/>
    <n v="1.0342883940421794"/>
  </r>
  <r>
    <x v="299"/>
    <n v="302721.68329999998"/>
    <n v="294129.67109999998"/>
    <n v="8249"/>
    <n v="36.69798561037701"/>
    <n v="8592.0121999999974"/>
    <n v="85.920121999999978"/>
    <n v="1.0415822766395924"/>
  </r>
  <r>
    <x v="300"/>
    <n v="128520.72779999999"/>
    <n v="124739.23390000001"/>
    <n v="3502"/>
    <n v="36.699236950314102"/>
    <n v="3781.4938999999868"/>
    <n v="37.814938999999868"/>
    <n v="1.0798097944031944"/>
  </r>
  <r>
    <x v="301"/>
    <n v="145185.2683"/>
    <n v="140651.93719999999"/>
    <n v="3949"/>
    <n v="36.765071739680934"/>
    <n v="4533.3311000000103"/>
    <n v="45.333311000000101"/>
    <n v="1.1479693846543455"/>
  </r>
  <r>
    <x v="302"/>
    <n v="89527.556630000006"/>
    <n v="87067.051319999999"/>
    <n v="2435"/>
    <n v="36.766963708418892"/>
    <n v="2460.5053100000077"/>
    <n v="24.605053100000077"/>
    <n v="1.0104744599589355"/>
  </r>
  <r>
    <x v="303"/>
    <n v="81991.882840000006"/>
    <n v="80112.548009999999"/>
    <n v="2232"/>
    <n v="36.734714534050184"/>
    <n v="1879.3348300000071"/>
    <n v="18.793348300000069"/>
    <n v="0.84199589157706412"/>
  </r>
  <r>
    <x v="304"/>
    <n v="69704.491110000003"/>
    <n v="68293.096390000006"/>
    <n v="1898"/>
    <n v="36.725232407797684"/>
    <n v="1411.3947199999966"/>
    <n v="14.113947199999966"/>
    <n v="0.7436220864067421"/>
  </r>
  <r>
    <x v="305"/>
    <n v="166652.39480000001"/>
    <n v="163319.71650000001"/>
    <n v="4537"/>
    <n v="36.731848093453827"/>
    <n v="3332.6782999999996"/>
    <n v="33.326782999999999"/>
    <n v="0.734555499228565"/>
  </r>
  <r>
    <x v="306"/>
    <n v="247453.10219999999"/>
    <n v="242638.80119999999"/>
    <n v="6730"/>
    <n v="36.768663031203566"/>
    <n v="4814.3010000000068"/>
    <n v="48.143010000000068"/>
    <n v="0.7153493313521555"/>
  </r>
  <r>
    <x v="307"/>
    <n v="148476.18119999999"/>
    <n v="145646.33679999999"/>
    <n v="4038"/>
    <n v="36.769732838038628"/>
    <n v="2829.8444000000018"/>
    <n v="28.298444000000018"/>
    <n v="0.70080346706290286"/>
  </r>
  <r>
    <x v="308"/>
    <n v="205368.92259999999"/>
    <n v="201281.239"/>
    <n v="5581"/>
    <n v="36.7978718150869"/>
    <n v="4087.6835999999894"/>
    <n v="40.876835999999891"/>
    <n v="0.73242852535387737"/>
  </r>
  <r>
    <x v="309"/>
    <n v="99244.681849999994"/>
    <n v="90949.442249999993"/>
    <n v="2519"/>
    <n v="39.398444561333861"/>
    <n v="8295.2396000000008"/>
    <n v="82.952396000000007"/>
    <n v="3.2930685192536724"/>
  </r>
  <r>
    <x v="310"/>
    <n v="72756.863100000002"/>
    <n v="67872.77433"/>
    <n v="1847"/>
    <n v="39.391912885760696"/>
    <n v="4884.0887700000021"/>
    <n v="48.840887700000025"/>
    <n v="2.6443360963724971"/>
  </r>
  <r>
    <x v="311"/>
    <n v="86867.458079999997"/>
    <n v="84486.086089999997"/>
    <n v="2309"/>
    <n v="37.621246461671717"/>
    <n v="2381.3719899999996"/>
    <n v="23.813719899999995"/>
    <n v="1.0313434343871803"/>
  </r>
  <r>
    <x v="312"/>
    <n v="140167.8039"/>
    <n v="136539.20329999999"/>
    <n v="3722"/>
    <n v="37.659270257925847"/>
    <n v="3628.6006000000052"/>
    <n v="36.28600600000005"/>
    <n v="0.97490612573885149"/>
  </r>
  <r>
    <x v="313"/>
    <n v="160727.3028"/>
    <n v="156700.82500000001"/>
    <n v="4268"/>
    <n v="37.658693252108719"/>
    <n v="4026.4777999999933"/>
    <n v="40.264777999999936"/>
    <n v="0.94341091846297875"/>
  </r>
  <r>
    <x v="314"/>
    <n v="74115.628779999999"/>
    <n v="71994.346390000006"/>
    <n v="1968"/>
    <n v="37.660380477642278"/>
    <n v="2121.282389999993"/>
    <n v="21.212823899999929"/>
    <n v="1.0778873932926794"/>
  </r>
  <r>
    <x v="315"/>
    <n v="76103.291519999999"/>
    <n v="73967.605689999997"/>
    <n v="2016"/>
    <n v="37.749648571428573"/>
    <n v="2135.6858300000022"/>
    <n v="21.35685830000002"/>
    <n v="1.0593679712301598"/>
  </r>
  <r>
    <x v="316"/>
    <n v="56303.366569999998"/>
    <n v="54996.866609999997"/>
    <n v="1497"/>
    <n v="37.610799311957244"/>
    <n v="1306.499960000001"/>
    <n v="13.064999600000011"/>
    <n v="0.87274546426185773"/>
  </r>
  <r>
    <x v="317"/>
    <n v="49436.815860000002"/>
    <n v="48289.89228"/>
    <n v="1314"/>
    <n v="37.623147534246577"/>
    <n v="1146.9235800000024"/>
    <n v="11.469235800000025"/>
    <n v="0.8728489954337918"/>
  </r>
  <r>
    <x v="318"/>
    <n v="55033.1224"/>
    <n v="53997.218869999997"/>
    <n v="1466"/>
    <n v="37.539646930422919"/>
    <n v="1035.9035300000032"/>
    <n v="10.359035300000032"/>
    <n v="0.70661905184174845"/>
  </r>
  <r>
    <x v="319"/>
    <n v="149808.16589999999"/>
    <n v="146994.89550000001"/>
    <n v="3984"/>
    <n v="37.602451280120484"/>
    <n v="2813.2703999999794"/>
    <n v="28.132703999999794"/>
    <n v="0.70614216867469359"/>
  </r>
  <r>
    <x v="320"/>
    <n v="180685.51070000001"/>
    <n v="176898.27780000001"/>
    <n v="4802"/>
    <n v="37.627136755518535"/>
    <n v="3787.2329000000027"/>
    <n v="37.872329000000029"/>
    <n v="0.78867823823406968"/>
  </r>
  <r>
    <x v="321"/>
    <n v="75871.43677"/>
    <n v="73905.810159999994"/>
    <n v="2017"/>
    <n v="37.615982533465541"/>
    <n v="1965.6266100000066"/>
    <n v="19.656266100000067"/>
    <n v="0.97452980168567505"/>
  </r>
  <r>
    <x v="322"/>
    <n v="86313.334080000001"/>
    <n v="84418.789109999998"/>
    <n v="2297"/>
    <n v="37.576549447104917"/>
    <n v="1894.5449700000026"/>
    <n v="18.945449700000026"/>
    <n v="0.82479101872007077"/>
  </r>
  <r>
    <x v="323"/>
    <n v="62631.798750000002"/>
    <n v="61158.361089999999"/>
    <n v="1665"/>
    <n v="37.616695945945949"/>
    <n v="1473.4376600000032"/>
    <n v="14.734376600000033"/>
    <n v="0.88494754354354543"/>
  </r>
  <r>
    <x v="324"/>
    <n v="48529.103360000001"/>
    <n v="47409.554060000002"/>
    <n v="1291"/>
    <n v="37.590320185902399"/>
    <n v="1119.5492999999988"/>
    <n v="11.195492999999988"/>
    <n v="0.86719542989930187"/>
  </r>
  <r>
    <x v="325"/>
    <n v="51040.881370000003"/>
    <n v="50038.142630000002"/>
    <n v="1361"/>
    <n v="37.502484474650991"/>
    <n v="1002.7387400000007"/>
    <n v="10.027387400000007"/>
    <n v="0.73676615723732597"/>
  </r>
  <r>
    <x v="326"/>
    <n v="53973.92224"/>
    <n v="47192.49828"/>
    <n v="1281"/>
    <n v="42.134209398907103"/>
    <n v="6781.4239600000001"/>
    <n v="67.814239600000008"/>
    <n v="5.2938516471506638"/>
  </r>
  <r>
    <x v="327"/>
    <n v="47497.982530000001"/>
    <n v="41179.088250000001"/>
    <n v="1122"/>
    <n v="42.33331776292335"/>
    <n v="6318.8942800000004"/>
    <n v="63.188942800000007"/>
    <n v="5.6318130837789662"/>
  </r>
  <r>
    <x v="328"/>
    <n v="31219.951529999998"/>
    <n v="26893.304680000001"/>
    <n v="737"/>
    <n v="42.360856892808684"/>
    <n v="4326.6468499999974"/>
    <n v="43.266468499999974"/>
    <n v="5.870619877883307"/>
  </r>
  <r>
    <x v="329"/>
    <n v="26870.32387"/>
    <n v="23516.041720000001"/>
    <n v="641"/>
    <n v="41.919382012480497"/>
    <n v="3354.2821499999991"/>
    <n v="33.542821499999988"/>
    <n v="5.2328894695787813"/>
  </r>
  <r>
    <x v="330"/>
    <n v="40530.642290000003"/>
    <n v="35674.190759999998"/>
    <n v="968"/>
    <n v="41.870498233471075"/>
    <n v="4856.4515300000057"/>
    <n v="48.56451530000006"/>
    <n v="5.0169953822314106"/>
  </r>
  <r>
    <x v="331"/>
    <n v="30371.431339999999"/>
    <n v="26054.849170000001"/>
    <n v="709"/>
    <n v="42.836997658674186"/>
    <n v="4316.5821699999979"/>
    <n v="43.165821699999981"/>
    <n v="6.0882682228490799"/>
  </r>
  <r>
    <x v="332"/>
    <n v="37776.658770000002"/>
    <n v="32719.689640000001"/>
    <n v="880"/>
    <n v="42.928021329545459"/>
    <n v="5056.9691300000013"/>
    <n v="50.569691300000017"/>
    <n v="5.7465558295454562"/>
  </r>
  <r>
    <x v="333"/>
    <n v="46818.205320000001"/>
    <n v="40652.576410000001"/>
    <n v="1096"/>
    <n v="42.717340620437959"/>
    <n v="6165.6289099999995"/>
    <n v="61.656289099999995"/>
    <n v="5.6255738229926999"/>
  </r>
  <r>
    <x v="334"/>
    <n v="88321.625549999997"/>
    <n v="79880.24368"/>
    <n v="2068"/>
    <n v="42.708716416827855"/>
    <n v="8441.3818699999974"/>
    <n v="84.413818699999979"/>
    <n v="4.0819061266924557"/>
  </r>
  <r>
    <x v="335"/>
    <n v="101037.8278"/>
    <n v="93177.884699999995"/>
    <n v="2375"/>
    <n v="42.542243284210528"/>
    <n v="7859.9431000000041"/>
    <n v="78.599431000000038"/>
    <n v="3.3094497263157914"/>
  </r>
  <r>
    <x v="336"/>
    <n v="105100.6676"/>
    <n v="97257.394669999994"/>
    <n v="2492"/>
    <n v="42.175227768860353"/>
    <n v="7843.2729300000065"/>
    <n v="78.432729300000062"/>
    <n v="3.1473807905296978"/>
  </r>
  <r>
    <x v="337"/>
    <n v="88219.52549"/>
    <n v="85533.428920000006"/>
    <n v="2170"/>
    <n v="40.654159211981565"/>
    <n v="2686.0965699999942"/>
    <n v="26.860965699999941"/>
    <n v="1.2378325207373246"/>
  </r>
  <r>
    <x v="338"/>
    <n v="71590.369290000002"/>
    <n v="69654.930309999996"/>
    <n v="1784"/>
    <n v="40.12913076793722"/>
    <n v="1935.4389800000063"/>
    <n v="19.354389800000064"/>
    <n v="1.0848873206278062"/>
  </r>
  <r>
    <x v="339"/>
    <n v="54996.62169"/>
    <n v="54503.028550000003"/>
    <n v="1368"/>
    <n v="40.202208837719297"/>
    <n v="493.59313999999722"/>
    <n v="4.9359313999999719"/>
    <n v="0.36081369883040731"/>
  </r>
  <r>
    <x v="340"/>
    <n v="77884.18161"/>
    <n v="77619.294890000005"/>
    <n v="1914"/>
    <n v="40.691839921630091"/>
    <n v="264.88671999999497"/>
    <n v="2.6488671999999496"/>
    <n v="0.13839431556948537"/>
  </r>
  <r>
    <x v="341"/>
    <n v="150370.11670000001"/>
    <n v="154998.8346"/>
    <n v="3765"/>
    <n v="39.9389420185923"/>
    <n v="-4628.7178999999887"/>
    <n v="-46.287178999999888"/>
    <n v="-1.2294071447543131"/>
  </r>
  <r>
    <x v="342"/>
    <n v="104675.37609999999"/>
    <n v="111903.73789999999"/>
    <n v="2712"/>
    <n v="38.59711508112094"/>
    <n v="-7228.3617999999988"/>
    <n v="-72.28361799999999"/>
    <n v="-2.6653251474926249"/>
  </r>
  <r>
    <x v="343"/>
    <n v="90121.530480000001"/>
    <n v="91081.668189999997"/>
    <n v="2222"/>
    <n v="40.55874459045905"/>
    <n v="-960.13770999999542"/>
    <n v="-9.6013770999999544"/>
    <n v="-0.43210518001799975"/>
  </r>
  <r>
    <x v="344"/>
    <n v="75425.443700000003"/>
    <n v="77014.255959999995"/>
    <n v="1861"/>
    <n v="40.529523750671686"/>
    <n v="-1588.8122599999915"/>
    <n v="-15.888122599999916"/>
    <n v="-0.8537411391724834"/>
  </r>
  <r>
    <x v="345"/>
    <n v="161844.8094"/>
    <n v="169348.51860000001"/>
    <n v="4095"/>
    <n v="39.522541978021977"/>
    <n v="-7503.7092000000121"/>
    <n v="-75.037092000000115"/>
    <n v="-1.8324076190476219"/>
  </r>
  <r>
    <x v="346"/>
    <n v="158603.35699999999"/>
    <n v="171692.99359999999"/>
    <n v="4157"/>
    <n v="38.153321385614625"/>
    <n v="-13089.636599999998"/>
    <n v="-130.89636599999997"/>
    <n v="-3.1488180418571079"/>
  </r>
  <r>
    <x v="347"/>
    <n v="279092.09600000002"/>
    <n v="301236.10989999998"/>
    <n v="7259"/>
    <n v="38.447733296597328"/>
    <n v="-22144.013899999962"/>
    <n v="-221.44013899999962"/>
    <n v="-3.0505598429535694"/>
  </r>
  <r>
    <x v="348"/>
    <n v="369350.98950000003"/>
    <n v="402564.67859999998"/>
    <n v="9654"/>
    <n v="38.258855344934744"/>
    <n v="-33213.68909999996"/>
    <n v="-332.13689099999959"/>
    <n v="-3.4404069919204434"/>
  </r>
  <r>
    <x v="349"/>
    <n v="177500.10769999999"/>
    <n v="192327.32070000001"/>
    <n v="4632"/>
    <n v="38.320403216753022"/>
    <n v="-14827.213000000018"/>
    <n v="-148.27213000000017"/>
    <n v="-3.2010390759930956"/>
  </r>
  <r>
    <x v="350"/>
    <n v="282246.6287"/>
    <n v="304489.63829999999"/>
    <n v="7341"/>
    <n v="38.447981024383601"/>
    <n v="-22243.00959999999"/>
    <n v="-222.43009599999991"/>
    <n v="-3.0299699768423909"/>
  </r>
  <r>
    <x v="351"/>
    <n v="166037.92569999999"/>
    <n v="179571.12909999999"/>
    <n v="4308"/>
    <n v="38.541765482822655"/>
    <n v="-13533.203399999999"/>
    <n v="-135.33203399999999"/>
    <n v="-3.1414121169916429"/>
  </r>
  <r>
    <x v="352"/>
    <n v="148910.99840000001"/>
    <n v="161137.522"/>
    <n v="3865"/>
    <n v="38.52807203104787"/>
    <n v="-12226.523599999986"/>
    <n v="-122.26523599999986"/>
    <n v="-3.1633954980595047"/>
  </r>
  <r>
    <x v="353"/>
    <n v="202359.14290000001"/>
    <n v="221435.76860000001"/>
    <n v="5288"/>
    <n v="38.267614012859305"/>
    <n v="-19076.625700000004"/>
    <n v="-190.76625700000005"/>
    <n v="-3.6075313350983365"/>
  </r>
  <r>
    <x v="354"/>
    <n v="274343.65429999999"/>
    <n v="299516.83779999998"/>
    <n v="7141"/>
    <n v="38.418100308080099"/>
    <n v="-25173.183499999985"/>
    <n v="-251.73183499999985"/>
    <n v="-3.5251622321803646"/>
  </r>
  <r>
    <x v="355"/>
    <n v="316167.0747"/>
    <n v="346378.30479999998"/>
    <n v="8268"/>
    <n v="38.239849383164007"/>
    <n v="-30211.230099999986"/>
    <n v="-302.11230099999989"/>
    <n v="-3.6539949322689873"/>
  </r>
  <r>
    <x v="356"/>
    <n v="173833.4001"/>
    <n v="190644.50159999999"/>
    <n v="4541"/>
    <n v="38.280863268002641"/>
    <n v="-16811.10149999999"/>
    <n v="-168.1110149999999"/>
    <n v="-3.7020703589517705"/>
  </r>
  <r>
    <x v="357"/>
    <n v="204565.08180000001"/>
    <n v="210188.9094"/>
    <n v="5014"/>
    <n v="40.798779776625452"/>
    <n v="-5623.8275999999896"/>
    <n v="-56.2382759999999"/>
    <n v="-1.1216249700837635"/>
  </r>
  <r>
    <x v="358"/>
    <n v="316394.73090000002"/>
    <n v="326627.1384"/>
    <n v="7778"/>
    <n v="40.678160311133972"/>
    <n v="-10232.407499999972"/>
    <n v="-102.32407499999972"/>
    <n v="-1.3155576626382068"/>
  </r>
  <r>
    <x v="359"/>
    <n v="486230.32020000002"/>
    <n v="495909.08960000001"/>
    <n v="11809"/>
    <n v="41.174555017359644"/>
    <n v="-9678.7693999999901"/>
    <n v="-96.787693999999902"/>
    <n v="-0.81960956897281656"/>
  </r>
  <r>
    <x v="360"/>
    <n v="137686.53210000001"/>
    <n v="140525.7867"/>
    <n v="3344"/>
    <n v="41.174202183014359"/>
    <n v="-2839.2545999999857"/>
    <n v="-28.392545999999857"/>
    <n v="-0.8490593899521488"/>
  </r>
  <r>
    <x v="361"/>
    <n v="48102.96241"/>
    <n v="49028.36507"/>
    <n v="1169"/>
    <n v="41.148813011120616"/>
    <n v="-925.40265999999974"/>
    <n v="-9.2540265999999978"/>
    <n v="-0.7916190419161675"/>
  </r>
  <r>
    <x v="362"/>
    <n v="110162.132"/>
    <n v="112383.5592"/>
    <n v="2676"/>
    <n v="41.166715994020926"/>
    <n v="-2221.4272000000055"/>
    <n v="-22.214272000000054"/>
    <n v="-0.83012974588938926"/>
  </r>
  <r>
    <x v="363"/>
    <n v="69051.337090000001"/>
    <n v="70482.717799999999"/>
    <n v="1677"/>
    <n v="41.175514066785929"/>
    <n v="-1431.3807099999976"/>
    <n v="-14.313807099999977"/>
    <n v="-0.85353649970184708"/>
  </r>
  <r>
    <x v="364"/>
    <n v="133307.36900000001"/>
    <n v="136003.48250000001"/>
    <n v="3237"/>
    <n v="41.182381526104422"/>
    <n v="-2696.1135000000068"/>
    <n v="-26.961135000000066"/>
    <n v="-0.83290500463392236"/>
  </r>
  <r>
    <x v="365"/>
    <n v="216389.5043"/>
    <n v="235723.7648"/>
    <n v="5607"/>
    <n v="38.592741983235243"/>
    <n v="-19334.260500000004"/>
    <n v="-193.34260500000005"/>
    <n v="-3.4482362225789198"/>
  </r>
  <r>
    <x v="366"/>
    <n v="365055.31199999998"/>
    <n v="398013.34830000001"/>
    <n v="9464"/>
    <n v="38.573046491969563"/>
    <n v="-32958.036300000036"/>
    <n v="-329.58036300000037"/>
    <n v="-3.4824636834319564"/>
  </r>
  <r>
    <x v="367"/>
    <n v="112161.41959999999"/>
    <n v="122170.4317"/>
    <n v="2905"/>
    <n v="38.609782994836486"/>
    <n v="-10009.012100000007"/>
    <n v="-100.09012100000007"/>
    <n v="-3.4454430636833071"/>
  </r>
  <r>
    <x v="368"/>
    <n v="271101.46169999999"/>
    <n v="295019.4694"/>
    <n v="7023"/>
    <n v="38.601945279794954"/>
    <n v="-23918.007700000016"/>
    <n v="-239.18007700000015"/>
    <n v="-3.4056681902320971"/>
  </r>
  <r>
    <x v="369"/>
    <n v="245813.28829999999"/>
    <n v="267734.72529999999"/>
    <n v="6371"/>
    <n v="38.583156223512788"/>
    <n v="-21921.437000000005"/>
    <n v="-219.21437000000006"/>
    <n v="-3.4408157275153046"/>
  </r>
  <r>
    <x v="370"/>
    <n v="178394.81200000001"/>
    <n v="194427.448"/>
    <n v="4624"/>
    <n v="38.580192906574396"/>
    <n v="-16032.635999999999"/>
    <n v="-160.32635999999999"/>
    <n v="-3.4672655709342557"/>
  </r>
  <r>
    <x v="371"/>
    <n v="220443.63149999999"/>
    <n v="239988.0275"/>
    <n v="5717"/>
    <n v="38.559319835578101"/>
    <n v="-19544.396000000008"/>
    <n v="-195.44396000000009"/>
    <n v="-3.4186454434143796"/>
  </r>
  <r>
    <x v="372"/>
    <n v="181534.1887"/>
    <n v="197328.94390000001"/>
    <n v="4705"/>
    <n v="38.583249458023381"/>
    <n v="-15794.755200000014"/>
    <n v="-157.94755200000014"/>
    <n v="-3.357014920297559"/>
  </r>
  <r>
    <x v="373"/>
    <n v="83176.481390000001"/>
    <n v="84728.831200000001"/>
    <n v="2020"/>
    <n v="41.176475935643566"/>
    <n v="-1552.3498099999997"/>
    <n v="-15.523498099999998"/>
    <n v="-0.76849000495049491"/>
  </r>
  <r>
    <x v="374"/>
    <n v="76894.779349999997"/>
    <n v="78468.095499999996"/>
    <n v="1868"/>
    <n v="41.164228774089935"/>
    <n v="-1573.3161499999987"/>
    <n v="-15.733161499999987"/>
    <n v="-0.84224633297644469"/>
  </r>
  <r>
    <x v="375"/>
    <n v="123859.38800000001"/>
    <n v="126444.1425"/>
    <n v="3008"/>
    <n v="41.176658244680851"/>
    <n v="-2584.7544999999955"/>
    <n v="-25.847544999999954"/>
    <n v="-0.8592933843085091"/>
  </r>
  <r>
    <x v="376"/>
    <n v="120807.5742"/>
    <n v="123392.80409999999"/>
    <n v="2934"/>
    <n v="41.175042331288346"/>
    <n v="-2585.2298999999912"/>
    <n v="-25.852298999999913"/>
    <n v="-0.88112811860940399"/>
  </r>
  <r>
    <x v="377"/>
    <n v="69597.36735"/>
    <n v="71051.363500000007"/>
    <n v="1690"/>
    <n v="41.181874171597634"/>
    <n v="-1453.9961500000063"/>
    <n v="-14.539961500000063"/>
    <n v="-0.86035275147929369"/>
  </r>
  <r>
    <x v="378"/>
    <n v="84738.294410000002"/>
    <n v="86467.537750000003"/>
    <n v="2058"/>
    <n v="41.175070170068025"/>
    <n v="-1729.2433400000009"/>
    <n v="-17.292433400000007"/>
    <n v="-0.84025429543245911"/>
  </r>
  <r>
    <x v="379"/>
    <n v="64653.972139999998"/>
    <n v="65980.422089999993"/>
    <n v="1570"/>
    <n v="41.180873974522292"/>
    <n v="-1326.4499499999947"/>
    <n v="-13.264499499999948"/>
    <n v="-0.84487257961783102"/>
  </r>
  <r>
    <x v="380"/>
    <n v="59553.386030000001"/>
    <n v="60703.356030000003"/>
    <n v="1446"/>
    <n v="41.184914266943295"/>
    <n v="-1149.9700000000012"/>
    <n v="-11.499700000000011"/>
    <n v="-0.79527662517289155"/>
  </r>
  <r>
    <x v="381"/>
    <n v="79080.756959999999"/>
    <n v="80337.748309999995"/>
    <n v="1921"/>
    <n v="41.166453388859971"/>
    <n v="-1256.9913499999966"/>
    <n v="-12.569913499999966"/>
    <n v="-0.65434219156689044"/>
  </r>
  <r>
    <x v="382"/>
    <n v="149444.05679999999"/>
    <n v="152030.9865"/>
    <n v="3629"/>
    <n v="41.180506144943507"/>
    <n v="-2586.9297000000079"/>
    <n v="-25.869297000000078"/>
    <n v="-0.71284918710388756"/>
  </r>
  <r>
    <x v="383"/>
    <n v="170624.07990000001"/>
    <n v="173547.02710000001"/>
    <n v="4144"/>
    <n v="41.173764454633208"/>
    <n v="-2922.9471999999951"/>
    <n v="-29.229471999999951"/>
    <n v="-0.70534440154440037"/>
  </r>
  <r>
    <x v="384"/>
    <n v="74744.283150000003"/>
    <n v="76003.928249999997"/>
    <n v="1815"/>
    <n v="41.181423223140499"/>
    <n v="-1259.6450999999943"/>
    <n v="-12.596450999999943"/>
    <n v="-0.69401933884297207"/>
  </r>
  <r>
    <x v="385"/>
    <n v="90144.161399999997"/>
    <n v="91110.969349999999"/>
    <n v="2189"/>
    <n v="41.180521425308356"/>
    <n v="-966.80795000000217"/>
    <n v="-9.6680795000000224"/>
    <n v="-0.44166649154865334"/>
  </r>
  <r>
    <x v="386"/>
    <n v="97826.808799999999"/>
    <n v="99134.306989999997"/>
    <n v="2376"/>
    <n v="41.172899326599328"/>
    <n v="-1307.4981899999984"/>
    <n v="-13.074981899999985"/>
    <n v="-0.55029385101010031"/>
  </r>
  <r>
    <x v="387"/>
    <n v="62795.979149999999"/>
    <n v="64144.088880000003"/>
    <n v="1525"/>
    <n v="41.177691245901642"/>
    <n v="-1348.1097300000038"/>
    <n v="-13.481097300000037"/>
    <n v="-0.88400638032787127"/>
  </r>
  <r>
    <x v="388"/>
    <n v="66550.989830000006"/>
    <n v="67952.150550000006"/>
    <n v="1616"/>
    <n v="41.182543211633664"/>
    <n v="-1401.1607199999999"/>
    <n v="-14.011607199999998"/>
    <n v="-0.86705490099009896"/>
  </r>
  <r>
    <x v="389"/>
    <n v="154670.89069999999"/>
    <n v="158031.791"/>
    <n v="3757"/>
    <n v="41.168722571200426"/>
    <n v="-3360.9003000000084"/>
    <n v="-33.609003000000087"/>
    <n v="-0.89457021559755345"/>
  </r>
  <r>
    <x v="390"/>
    <n v="158722.10560000001"/>
    <n v="162082.4184"/>
    <n v="3855"/>
    <n v="41.173049442282753"/>
    <n v="-3360.3127999999851"/>
    <n v="-33.603127999999849"/>
    <n v="-0.87167647211413368"/>
  </r>
  <r>
    <x v="391"/>
    <n v="78092.276920000004"/>
    <n v="79795.043099999995"/>
    <n v="1897"/>
    <n v="41.166197638376389"/>
    <n v="-1702.7661799999914"/>
    <n v="-17.027661799999915"/>
    <n v="-0.89761000527147672"/>
  </r>
  <r>
    <x v="392"/>
    <n v="91830.402040000001"/>
    <n v="93808.086750000002"/>
    <n v="2230"/>
    <n v="41.179552484304935"/>
    <n v="-1977.6847100000014"/>
    <n v="-19.776847100000012"/>
    <n v="-0.8868541300448437"/>
  </r>
  <r>
    <x v="393"/>
    <n v="76992.935679999995"/>
    <n v="78614.457750000001"/>
    <n v="1870"/>
    <n v="41.172692877005346"/>
    <n v="-1621.5220700000064"/>
    <n v="-16.215220700000064"/>
    <n v="-0.86712410160428144"/>
  </r>
  <r>
    <x v="394"/>
    <n v="59897.715880000003"/>
    <n v="61194.180260000001"/>
    <n v="1455"/>
    <n v="41.166815037800689"/>
    <n v="-1296.4643799999976"/>
    <n v="-12.964643799999976"/>
    <n v="-0.89104081099656196"/>
  </r>
  <r>
    <x v="395"/>
    <n v="57310.194040000002"/>
    <n v="58531.410989999997"/>
    <n v="1392"/>
    <n v="41.171116408045975"/>
    <n v="-1221.2169499999945"/>
    <n v="-12.212169499999945"/>
    <n v="-0.87731102729884669"/>
  </r>
  <r>
    <x v="396"/>
    <n v="134540.2145"/>
    <n v="137221.53750000001"/>
    <n v="3268"/>
    <n v="41.168976285189721"/>
    <n v="-2681.323000000004"/>
    <n v="-26.81323000000004"/>
    <n v="-0.82047827417380781"/>
  </r>
  <r>
    <x v="397"/>
    <n v="200193.61199999999"/>
    <n v="203814.73639999999"/>
    <n v="4862"/>
    <n v="41.175156725627311"/>
    <n v="-3621.1244000000006"/>
    <n v="-36.211244000000008"/>
    <n v="-0.74478083093377223"/>
  </r>
  <r>
    <x v="398"/>
    <n v="171469.93049999999"/>
    <n v="174652.45800000001"/>
    <n v="4165"/>
    <n v="41.169251020408161"/>
    <n v="-3182.5275000000256"/>
    <n v="-31.825275000000257"/>
    <n v="-0.76411224489796536"/>
  </r>
  <r>
    <x v="399"/>
    <n v="151737.2188"/>
    <n v="154148.59880000001"/>
    <n v="3685"/>
    <n v="41.176992890094979"/>
    <n v="-2411.3800000000047"/>
    <n v="-24.113800000000047"/>
    <n v="-0.65437720488466888"/>
  </r>
  <r>
    <x v="400"/>
    <n v="102072.4434"/>
    <n v="103634.9642"/>
    <n v="2479"/>
    <n v="41.174846066962488"/>
    <n v="-1562.5207999999984"/>
    <n v="-15.625207999999985"/>
    <n v="-0.63030286405808733"/>
  </r>
  <r>
    <x v="401"/>
    <n v="82514.105119999993"/>
    <n v="83232.391369999998"/>
    <n v="2005"/>
    <n v="41.154167142144637"/>
    <n v="-718.28625000000466"/>
    <n v="-7.1828625000000468"/>
    <n v="-0.35824750623441631"/>
  </r>
  <r>
    <x v="402"/>
    <n v="46211.332459999998"/>
    <n v="46407.299120000003"/>
    <n v="1122"/>
    <n v="41.186570819964345"/>
    <n v="-195.9666600000055"/>
    <n v="-1.9596666000000551"/>
    <n v="-0.17465834224599422"/>
  </r>
  <r>
    <x v="403"/>
    <n v="85730.414810000002"/>
    <n v="85765.709340000001"/>
    <n v="2082"/>
    <n v="41.176952358309322"/>
    <n v="-35.294529999999213"/>
    <n v="-0.35294529999999213"/>
    <n v="-1.6952223823246501E-2"/>
  </r>
  <r>
    <x v="404"/>
    <n v="105918.2933"/>
    <n v="105662.55620000001"/>
    <n v="2573"/>
    <n v="41.165290827827441"/>
    <n v="255.73709999999846"/>
    <n v="2.5573709999999847"/>
    <n v="9.9392576758646892E-2"/>
  </r>
  <r>
    <x v="405"/>
    <n v="73041.660870000007"/>
    <n v="73046.233900000007"/>
    <n v="1774"/>
    <n v="41.173427773393463"/>
    <n v="-4.5730299999995623"/>
    <n v="-4.5730299999995623E-2"/>
    <n v="-2.577807215332335E-3"/>
  </r>
  <r>
    <x v="406"/>
    <n v="97908.547099999996"/>
    <n v="97097.936589999998"/>
    <n v="2378"/>
    <n v="41.172643860386877"/>
    <n v="810.61050999999861"/>
    <n v="8.1061050999999864"/>
    <n v="0.34087910428931817"/>
  </r>
  <r>
    <x v="407"/>
    <n v="138667.41589999999"/>
    <n v="148522.84899999999"/>
    <n v="3677"/>
    <n v="37.712106581452268"/>
    <n v="-9855.4330999999947"/>
    <n v="-98.554330999999948"/>
    <n v="-2.6802918411748693"/>
  </r>
  <r>
    <x v="408"/>
    <n v="162162.1035"/>
    <n v="173661.8278"/>
    <n v="4299"/>
    <n v="37.720889392882064"/>
    <n v="-11499.724300000002"/>
    <n v="-114.99724300000001"/>
    <n v="-2.6749765759478952"/>
  </r>
  <r>
    <x v="409"/>
    <n v="138520.1268"/>
    <n v="147756.34280000001"/>
    <n v="3674"/>
    <n v="37.702810778443116"/>
    <n v="-9236.2160000000149"/>
    <n v="-92.362160000000145"/>
    <n v="-2.5139401197604831"/>
  </r>
  <r>
    <x v="410"/>
    <n v="358597.42849999998"/>
    <n v="382447.08039999998"/>
    <n v="9505"/>
    <n v="37.727241294055759"/>
    <n v="-23849.651899999997"/>
    <n v="-238.49651899999998"/>
    <n v="-2.5091690583903206"/>
  </r>
  <r>
    <x v="411"/>
    <n v="424009.88250000001"/>
    <n v="451548.02759999997"/>
    <n v="11237"/>
    <n v="37.733370339058467"/>
    <n v="-27538.145099999965"/>
    <n v="-275.38145099999963"/>
    <n v="-2.450667001868823"/>
  </r>
  <r>
    <x v="412"/>
    <n v="203861.4724"/>
    <n v="217065.6152"/>
    <n v="5406"/>
    <n v="37.710224269330375"/>
    <n v="-13204.142800000001"/>
    <n v="-132.04142800000002"/>
    <n v="-2.4424977432482429"/>
  </r>
  <r>
    <x v="413"/>
    <n v="220506.20929999999"/>
    <n v="234723.22"/>
    <n v="5846"/>
    <n v="37.719159989736568"/>
    <n v="-14217.010700000013"/>
    <n v="-142.17010700000014"/>
    <n v="-2.4319210913445115"/>
  </r>
  <r>
    <x v="414"/>
    <n v="139935.93700000001"/>
    <n v="148697.54370000001"/>
    <n v="3713"/>
    <n v="37.688105844330728"/>
    <n v="-8761.6067000000039"/>
    <n v="-87.616067000000044"/>
    <n v="-2.3597109345542697"/>
  </r>
  <r>
    <x v="415"/>
    <n v="161064.75229999999"/>
    <n v="170739.36660000001"/>
    <n v="4270"/>
    <n v="37.720082505854798"/>
    <n v="-9674.6143000000156"/>
    <n v="-96.74614300000016"/>
    <n v="-2.2657176346604251"/>
  </r>
  <r>
    <x v="416"/>
    <n v="144328.54519999999"/>
    <n v="152824.11489999999"/>
    <n v="3827"/>
    <n v="37.71323365560491"/>
    <n v="-8495.5696999999927"/>
    <n v="-84.95569699999993"/>
    <n v="-2.2199032401358747"/>
  </r>
  <r>
    <x v="417"/>
    <n v="293071.75919999997"/>
    <n v="310240.37839999999"/>
    <n v="7770"/>
    <n v="37.718373127413123"/>
    <n v="-17168.619200000016"/>
    <n v="-171.68619200000015"/>
    <n v="-2.2096035006435026"/>
  </r>
  <r>
    <x v="418"/>
    <n v="267782.15399999998"/>
    <n v="283430.33679999999"/>
    <n v="7102"/>
    <n v="37.705175161926213"/>
    <n v="-15648.18280000001"/>
    <n v="-156.48182800000009"/>
    <n v="-2.2033487468318795"/>
  </r>
  <r>
    <x v="419"/>
    <n v="136052.68840000001"/>
    <n v="144020.12280000001"/>
    <n v="3608"/>
    <n v="37.708616518847009"/>
    <n v="-7967.4343999999983"/>
    <n v="-79.674343999999977"/>
    <n v="-2.2082689578713963"/>
  </r>
  <r>
    <x v="420"/>
    <n v="86703.31409"/>
    <n v="85730.966539999994"/>
    <n v="2150"/>
    <n v="40.327122832558139"/>
    <n v="972.34755000000587"/>
    <n v="9.7234755000000579"/>
    <n v="0.45225467441860739"/>
  </r>
  <r>
    <x v="421"/>
    <n v="95474.357369999998"/>
    <n v="100867.5241"/>
    <n v="2530"/>
    <n v="37.736900146245056"/>
    <n v="-5393.1667299999972"/>
    <n v="-53.931667299999972"/>
    <n v="-2.1316864545454535"/>
  </r>
  <r>
    <x v="422"/>
    <n v="198431.6275"/>
    <n v="209499.7941"/>
    <n v="5253"/>
    <n v="37.774914810584427"/>
    <n v="-11068.166599999997"/>
    <n v="-110.68166599999996"/>
    <n v="-2.1070181991243091"/>
  </r>
  <r>
    <x v="423"/>
    <n v="157291.734"/>
    <n v="166305.03760000001"/>
    <n v="4171"/>
    <n v="37.71079693119156"/>
    <n v="-9013.3036000000138"/>
    <n v="-90.133036000000132"/>
    <n v="-2.1609454807000752"/>
  </r>
  <r>
    <x v="424"/>
    <n v="307540.6752"/>
    <n v="324997.33649999998"/>
    <n v="8156"/>
    <n v="37.707292202059833"/>
    <n v="-17456.661299999978"/>
    <n v="-174.56661299999979"/>
    <n v="-2.1403459171162309"/>
  </r>
  <r>
    <x v="425"/>
    <n v="350898.7635"/>
    <n v="375030.63549999997"/>
    <n v="9296"/>
    <n v="37.747285230206543"/>
    <n v="-24131.871999999974"/>
    <n v="-241.31871999999973"/>
    <n v="-2.5959414802065375"/>
  </r>
  <r>
    <x v="426"/>
    <n v="256701.54269999999"/>
    <n v="276569.25040000002"/>
    <n v="6803"/>
    <n v="37.733579700132296"/>
    <n v="-19867.707700000028"/>
    <n v="-198.67707700000028"/>
    <n v="-2.9204332941349445"/>
  </r>
  <r>
    <x v="427"/>
    <n v="234705.59280000001"/>
    <n v="252709.82310000001"/>
    <n v="6221"/>
    <n v="37.727952547821893"/>
    <n v="-18004.230299999996"/>
    <n v="-180.04230299999995"/>
    <n v="-2.8941054975084386"/>
  </r>
  <r>
    <x v="428"/>
    <n v="249380.56539999999"/>
    <n v="268761.83240000001"/>
    <n v="6611"/>
    <n v="37.722064044773859"/>
    <n v="-19381.267000000022"/>
    <n v="-193.81267000000022"/>
    <n v="-2.9316694902435367"/>
  </r>
  <r>
    <x v="429"/>
    <n v="258211.4442"/>
    <n v="278825.6067"/>
    <n v="6843"/>
    <n v="37.733661288908372"/>
    <n v="-20614.162500000006"/>
    <n v="-206.14162500000006"/>
    <n v="-3.0124451994739156"/>
  </r>
  <r>
    <x v="430"/>
    <n v="145975.8339"/>
    <n v="157578.00589999999"/>
    <n v="3858"/>
    <n v="37.837178304821151"/>
    <n v="-11602.171999999991"/>
    <n v="-116.02171999999992"/>
    <n v="-3.0073022291342641"/>
  </r>
  <r>
    <x v="431"/>
    <n v="269239.85259999998"/>
    <n v="291365.01760000002"/>
    <n v="7128"/>
    <n v="37.772145426487093"/>
    <n v="-22125.165000000037"/>
    <n v="-221.25165000000038"/>
    <n v="-3.1039793771043822"/>
  </r>
  <r>
    <x v="432"/>
    <n v="306920.21159999998"/>
    <n v="332242.41159999999"/>
    <n v="8127"/>
    <n v="37.765499150978215"/>
    <n v="-25322.200000000012"/>
    <n v="-253.22200000000012"/>
    <n v="-3.1158114925556801"/>
  </r>
  <r>
    <x v="433"/>
    <n v="122106.7956"/>
    <n v="121394.8122"/>
    <n v="2966"/>
    <n v="41.168845448415375"/>
    <n v="711.98339999999735"/>
    <n v="7.1198339999999734"/>
    <n v="0.24004834794335717"/>
  </r>
  <r>
    <x v="434"/>
    <n v="117661.28079999999"/>
    <n v="116861.1583"/>
    <n v="2858"/>
    <n v="41.169097550734776"/>
    <n v="800.12249999999767"/>
    <n v="8.0012249999999767"/>
    <n v="0.27995888733379903"/>
  </r>
  <r>
    <x v="435"/>
    <n v="62499.799169999998"/>
    <n v="62073.872649999998"/>
    <n v="1518"/>
    <n v="41.172463221343875"/>
    <n v="425.92652000000089"/>
    <n v="4.2592652000000086"/>
    <n v="0.28058400527009281"/>
  </r>
  <r>
    <x v="436"/>
    <n v="57063.984120000001"/>
    <n v="56638.281369999997"/>
    <n v="1386"/>
    <n v="41.171705714285714"/>
    <n v="425.70275000000402"/>
    <n v="4.2570275000000404"/>
    <n v="0.30714484126984415"/>
  </r>
  <r>
    <x v="437"/>
    <n v="48008.482839999997"/>
    <n v="47681.672079999997"/>
    <n v="1166"/>
    <n v="41.173655951972556"/>
    <n v="326.8107600000003"/>
    <n v="3.2681076000000031"/>
    <n v="0.28028367066895393"/>
  </r>
  <r>
    <x v="438"/>
    <n v="117446.8391"/>
    <n v="116681.1416"/>
    <n v="2853"/>
    <n v="41.166084507535928"/>
    <n v="765.69749999999476"/>
    <n v="7.6569749999999477"/>
    <n v="0.26838328075709594"/>
  </r>
  <r>
    <x v="439"/>
    <n v="150591.54790000001"/>
    <n v="149573.82759999999"/>
    <n v="3657"/>
    <n v="41.178984933005196"/>
    <n v="1017.7203000000154"/>
    <n v="10.177203000000155"/>
    <n v="0.27829376538146444"/>
  </r>
  <r>
    <x v="440"/>
    <n v="67152.474950000003"/>
    <n v="66802.983219999995"/>
    <n v="1631"/>
    <n v="41.172578142244021"/>
    <n v="349.49173000000883"/>
    <n v="3.4949173000000884"/>
    <n v="0.21428064377682945"/>
  </r>
  <r>
    <x v="441"/>
    <n v="80635.289250000002"/>
    <n v="80121.290519999995"/>
    <n v="1959"/>
    <n v="41.16145444104135"/>
    <n v="513.99873000000662"/>
    <n v="5.1399873000000662"/>
    <n v="0.26237811638591457"/>
  </r>
  <r>
    <x v="442"/>
    <n v="50669.6371"/>
    <n v="50308.957049999997"/>
    <n v="1230"/>
    <n v="41.194826910569105"/>
    <n v="360.68005000000267"/>
    <n v="3.6068005000000265"/>
    <n v="0.29323581300813223"/>
  </r>
  <r>
    <x v="443"/>
    <n v="48648.992660000004"/>
    <n v="48362.068789999998"/>
    <n v="1182"/>
    <n v="41.158200219966162"/>
    <n v="286.92387000000599"/>
    <n v="2.8692387000000599"/>
    <n v="0.24274439086294924"/>
  </r>
  <r>
    <x v="444"/>
    <n v="43213.177620000002"/>
    <n v="42981.216849999997"/>
    <n v="1050"/>
    <n v="41.155407257142862"/>
    <n v="231.96077000000514"/>
    <n v="2.3196077000000512"/>
    <n v="0.22091501904762395"/>
  </r>
  <r>
    <x v="445"/>
    <n v="96881.018089999998"/>
    <n v="96453.287280000004"/>
    <n v="2353"/>
    <n v="41.173403353166172"/>
    <n v="427.73080999999365"/>
    <n v="4.2773080999999369"/>
    <n v="0.1817810497237542"/>
  </r>
  <r>
    <x v="446"/>
    <n v="121360.8851"/>
    <n v="120829.288"/>
    <n v="2947"/>
    <n v="41.181162232779094"/>
    <n v="531.59709999999905"/>
    <n v="5.3159709999999905"/>
    <n v="0.18038585001696608"/>
  </r>
  <r>
    <x v="447"/>
    <n v="66954.366370000003"/>
    <n v="66756.376439999993"/>
    <n v="1626"/>
    <n v="41.177347091020913"/>
    <n v="197.98993000001065"/>
    <n v="1.9798993000001064"/>
    <n v="0.12176502460025256"/>
  </r>
  <r>
    <x v="448"/>
    <n v="81342.150760000004"/>
    <n v="81132.012900000002"/>
    <n v="1976"/>
    <n v="41.165056052631584"/>
    <n v="210.13786000000255"/>
    <n v="2.1013786000000256"/>
    <n v="0.10634507085020371"/>
  </r>
  <r>
    <x v="449"/>
    <n v="125060.70789999999"/>
    <n v="136375.15270000001"/>
    <n v="3312"/>
    <n v="37.759875573671493"/>
    <n v="-11314.444800000012"/>
    <n v="-113.14444800000012"/>
    <n v="-3.4161971014492791"/>
  </r>
  <r>
    <x v="450"/>
    <n v="253218.83119999999"/>
    <n v="276194.82949999999"/>
    <n v="6704"/>
    <n v="37.771305369928399"/>
    <n v="-22975.998300000007"/>
    <n v="-229.75998300000006"/>
    <n v="-3.4272073836515524"/>
  </r>
  <r>
    <x v="451"/>
    <n v="229184.4719"/>
    <n v="250361.1502"/>
    <n v="6077"/>
    <n v="37.713423054138559"/>
    <n v="-21176.6783"/>
    <n v="-211.766783"/>
    <n v="-3.4847257363830835"/>
  </r>
  <r>
    <x v="452"/>
    <n v="354191.35100000002"/>
    <n v="386464.65130000003"/>
    <n v="9386"/>
    <n v="37.736133709780525"/>
    <n v="-32273.300300000003"/>
    <n v="-322.73300300000005"/>
    <n v="-3.4384509162582573"/>
  </r>
  <r>
    <x v="453"/>
    <n v="459484.6666"/>
    <n v="501362.57250000001"/>
    <n v="12181"/>
    <n v="37.721424070273379"/>
    <n v="-41877.905900000012"/>
    <n v="-418.77905900000013"/>
    <n v="-3.4379694524259103"/>
  </r>
  <r>
    <x v="454"/>
    <n v="224102.8885"/>
    <n v="244359.8075"/>
    <n v="5937"/>
    <n v="37.746823058783896"/>
    <n v="-20256.918999999994"/>
    <n v="-202.56918999999994"/>
    <n v="-3.4119789455954175"/>
  </r>
  <r>
    <x v="455"/>
    <n v="215203.5588"/>
    <n v="234819.4474"/>
    <n v="5706"/>
    <n v="37.715309989484751"/>
    <n v="-19615.888600000006"/>
    <n v="-196.15888600000005"/>
    <n v="-3.43776526463372"/>
  </r>
  <r>
    <x v="456"/>
    <n v="355534.91200000001"/>
    <n v="386988.91470000002"/>
    <n v="9421"/>
    <n v="37.738553444432654"/>
    <n v="-31454.002700000012"/>
    <n v="-314.54002700000012"/>
    <n v="-3.3387116760428843"/>
  </r>
  <r>
    <x v="457"/>
    <n v="498894.34389999998"/>
    <n v="542483.8358"/>
    <n v="13207"/>
    <n v="37.774993859317028"/>
    <n v="-43589.491900000023"/>
    <n v="-435.89491900000024"/>
    <n v="-3.3004839781933839"/>
  </r>
  <r>
    <x v="458"/>
    <n v="715032.1899"/>
    <n v="777522.19279999996"/>
    <n v="18936"/>
    <n v="37.760466302281365"/>
    <n v="-62490.002899999963"/>
    <n v="-624.90002899999968"/>
    <n v="-3.3000635245035892"/>
  </r>
  <r>
    <x v="459"/>
    <n v="510289.2156"/>
    <n v="554159.81940000004"/>
    <n v="13503"/>
    <n v="37.790803199289044"/>
    <n v="-43870.603800000041"/>
    <n v="-438.70603800000043"/>
    <n v="-3.2489523661408608"/>
  </r>
  <r>
    <x v="460"/>
    <n v="400302.03950000001"/>
    <n v="434872.72889999999"/>
    <n v="10600"/>
    <n v="37.764343349056603"/>
    <n v="-34570.689399999974"/>
    <n v="-345.70689399999975"/>
    <n v="-3.2613857924528276"/>
  </r>
  <r>
    <x v="461"/>
    <n v="135578.2034"/>
    <n v="147335.92509999999"/>
    <n v="3591"/>
    <n v="37.75499955444166"/>
    <n v="-11757.721699999995"/>
    <n v="-117.57721699999995"/>
    <n v="-3.274219353940405"/>
  </r>
  <r>
    <x v="462"/>
    <n v="182466.25520000001"/>
    <n v="198405.2291"/>
    <n v="4836"/>
    <n v="37.730822001654261"/>
    <n v="-15938.973899999983"/>
    <n v="-159.38973899999982"/>
    <n v="-3.2959003101736939"/>
  </r>
  <r>
    <x v="463"/>
    <n v="176814.20259999999"/>
    <n v="178390.14910000001"/>
    <n v="4348"/>
    <n v="40.665639972401102"/>
    <n v="-1575.94650000002"/>
    <n v="-15.759465000000199"/>
    <n v="-0.36245319687212973"/>
  </r>
  <r>
    <x v="464"/>
    <n v="100917.6716"/>
    <n v="100579.1289"/>
    <n v="2451"/>
    <n v="41.174080620155038"/>
    <n v="338.54270000000542"/>
    <n v="3.3854270000000541"/>
    <n v="0.13812431660546937"/>
  </r>
  <r>
    <x v="465"/>
    <n v="74690.672730000006"/>
    <n v="74427.58597"/>
    <n v="1814"/>
    <n v="41.17457151598677"/>
    <n v="263.0867600000056"/>
    <n v="2.6308676000000562"/>
    <n v="0.14503128996692702"/>
  </r>
  <r>
    <x v="466"/>
    <n v="114067.07709999999"/>
    <n v="113653.9736"/>
    <n v="2770"/>
    <n v="41.179450216606497"/>
    <n v="413.10349999999744"/>
    <n v="4.131034999999974"/>
    <n v="0.14913483754512544"/>
  </r>
  <r>
    <x v="467"/>
    <n v="126507.8009"/>
    <n v="126043.7692"/>
    <n v="3072"/>
    <n v="41.18092477213542"/>
    <n v="464.03170000000682"/>
    <n v="4.640317000000068"/>
    <n v="0.15105198567708555"/>
  </r>
  <r>
    <x v="468"/>
    <n v="79648.629390000002"/>
    <n v="79349.402449999994"/>
    <n v="1934"/>
    <n v="41.183365765253363"/>
    <n v="299.22694000000774"/>
    <n v="2.9922694000000774"/>
    <n v="0.15471920372285819"/>
  </r>
  <r>
    <x v="469"/>
    <n v="83137.432430000001"/>
    <n v="82700.354170000006"/>
    <n v="2019"/>
    <n v="41.177529683011393"/>
    <n v="437.07825999999477"/>
    <n v="4.3707825999999477"/>
    <n v="0.2164825458147572"/>
  </r>
  <r>
    <x v="470"/>
    <n v="40776.02706"/>
    <n v="39940.19958"/>
    <n v="979"/>
    <n v="41.650691583248211"/>
    <n v="835.82747999999992"/>
    <n v="8.3582747999999985"/>
    <n v="0.85375636363636354"/>
  </r>
  <r>
    <x v="471"/>
    <n v="58278.457929999997"/>
    <n v="56969.922590000002"/>
    <n v="1398"/>
    <n v="41.687022839771096"/>
    <n v="1308.5353399999949"/>
    <n v="13.085353399999949"/>
    <n v="0.93600525035765014"/>
  </r>
  <r>
    <x v="472"/>
    <n v="50000.101439999999"/>
    <n v="48827.88538"/>
    <n v="1198"/>
    <n v="41.736311719532551"/>
    <n v="1172.2160599999988"/>
    <n v="11.722160599999988"/>
    <n v="0.97847751252086712"/>
  </r>
  <r>
    <x v="473"/>
    <n v="103911.9191"/>
    <n v="101408.94960000001"/>
    <n v="2485"/>
    <n v="41.815661609657944"/>
    <n v="2502.969499999992"/>
    <n v="25.029694999999919"/>
    <n v="1.0072311871227333"/>
  </r>
  <r>
    <x v="474"/>
    <n v="132843.22260000001"/>
    <n v="129545.5321"/>
    <n v="3172"/>
    <n v="41.879956683480458"/>
    <n v="3297.6905000000115"/>
    <n v="32.976905000000116"/>
    <n v="1.0396250000000036"/>
  </r>
  <r>
    <x v="475"/>
    <n v="62786.611279999997"/>
    <n v="61213.25591"/>
    <n v="1497"/>
    <n v="41.941624101536405"/>
    <n v="1573.3553699999975"/>
    <n v="15.733553699999975"/>
    <n v="1.051005591182363"/>
  </r>
  <r>
    <x v="476"/>
    <n v="57233.406640000001"/>
    <n v="55706.87543"/>
    <n v="1365"/>
    <n v="41.929235633699633"/>
    <n v="1526.531210000001"/>
    <n v="15.26531210000001"/>
    <n v="1.1183378827838835"/>
  </r>
  <r>
    <x v="477"/>
    <n v="56874.345459999997"/>
    <n v="55172.17123"/>
    <n v="1353"/>
    <n v="42.03573204730229"/>
    <n v="1702.1742299999969"/>
    <n v="17.021742299999968"/>
    <n v="1.2580740798226142"/>
  </r>
  <r>
    <x v="478"/>
    <n v="132737.73699999999"/>
    <n v="140263.9301"/>
    <n v="3439"/>
    <n v="38.597771735969758"/>
    <n v="-7526.1931000000041"/>
    <n v="-75.261931000000047"/>
    <n v="-2.18848301831928"/>
  </r>
  <r>
    <x v="479"/>
    <n v="60310.338949999998"/>
    <n v="58446.054929999998"/>
    <n v="1434"/>
    <n v="42.057419072524404"/>
    <n v="1864.2840199999991"/>
    <n v="18.642840199999991"/>
    <n v="1.3000585913528586"/>
  </r>
  <r>
    <x v="480"/>
    <n v="343587.0085"/>
    <n v="362390.59600000002"/>
    <n v="8892"/>
    <n v="38.64001445119208"/>
    <n v="-18803.587500000023"/>
    <n v="-188.03587500000023"/>
    <n v="-2.1146634615384641"/>
  </r>
  <r>
    <x v="481"/>
    <n v="496882.315"/>
    <n v="535306.00989999995"/>
    <n v="13144"/>
    <n v="37.802975882531953"/>
    <n v="-38423.694899999944"/>
    <n v="-384.23694899999941"/>
    <n v="-2.923287804321359"/>
  </r>
  <r>
    <x v="482"/>
    <n v="200369.82990000001"/>
    <n v="210964.76809999999"/>
    <n v="5179"/>
    <n v="38.688903243869476"/>
    <n v="-10594.938199999975"/>
    <n v="-105.94938199999974"/>
    <n v="-2.0457497972581531"/>
  </r>
  <r>
    <x v="483"/>
    <n v="194028.0618"/>
    <n v="204053.49890000001"/>
    <n v="5014"/>
    <n v="38.697260031910652"/>
    <n v="-10025.43710000001"/>
    <n v="-100.25437100000011"/>
    <n v="-1.9994888512165956"/>
  </r>
  <r>
    <x v="484"/>
    <n v="190560.57920000001"/>
    <n v="200804.0368"/>
    <n v="4936"/>
    <n v="38.60627617504052"/>
    <n v="-10243.457599999994"/>
    <n v="-102.43457599999994"/>
    <n v="-2.0752547811993507"/>
  </r>
  <r>
    <x v="485"/>
    <n v="198985.3996"/>
    <n v="209483.87580000001"/>
    <n v="5150"/>
    <n v="38.637941669902915"/>
    <n v="-10498.476200000005"/>
    <n v="-104.98476200000005"/>
    <n v="-2.0385390679611661"/>
  </r>
  <r>
    <x v="486"/>
    <n v="385482.87199999997"/>
    <n v="406252.00760000001"/>
    <n v="9986"/>
    <n v="38.602330462647707"/>
    <n v="-20769.135600000038"/>
    <n v="-207.69135600000038"/>
    <n v="-2.0798253154416222"/>
  </r>
  <r>
    <x v="487"/>
    <n v="499703.41470000002"/>
    <n v="526206.93720000004"/>
    <n v="12937"/>
    <n v="38.62591131637938"/>
    <n v="-26503.522500000021"/>
    <n v="-265.0352250000002"/>
    <n v="-2.0486606245652021"/>
  </r>
  <r>
    <x v="488"/>
    <n v="461667.00390000001"/>
    <n v="496852.80200000003"/>
    <n v="12217"/>
    <n v="37.788901031349759"/>
    <n v="-35185.798100000015"/>
    <n v="-351.85798100000017"/>
    <n v="-2.8800686011295746"/>
  </r>
  <r>
    <x v="489"/>
    <n v="259541.60870000001"/>
    <n v="273280.04639999999"/>
    <n v="6721"/>
    <n v="38.616516693944355"/>
    <n v="-13738.43769999998"/>
    <n v="-137.3843769999998"/>
    <n v="-2.0441061895551229"/>
  </r>
  <r>
    <x v="490"/>
    <n v="320309.27439999999"/>
    <n v="336742.60239999997"/>
    <n v="8283"/>
    <n v="38.67068385850537"/>
    <n v="-16433.32799999998"/>
    <n v="-164.3332799999998"/>
    <n v="-1.9839826149945647"/>
  </r>
  <r>
    <x v="491"/>
    <n v="239922.9982"/>
    <n v="251700.9664"/>
    <n v="6191"/>
    <n v="38.753512873526084"/>
    <n v="-11777.968200000003"/>
    <n v="-117.77968200000004"/>
    <n v="-1.9024338879017935"/>
  </r>
  <r>
    <x v="492"/>
    <n v="224994.19510000001"/>
    <n v="242259.85949999999"/>
    <n v="5959"/>
    <n v="37.75703894948817"/>
    <n v="-17265.66439999998"/>
    <n v="-172.6566439999998"/>
    <n v="-2.8974096996140259"/>
  </r>
  <r>
    <x v="493"/>
    <n v="117197.97169999999"/>
    <n v="115769.0863"/>
    <n v="2848"/>
    <n v="41.150973209269658"/>
    <n v="1428.8853999999992"/>
    <n v="14.288853999999992"/>
    <n v="0.50171537921348286"/>
  </r>
  <r>
    <x v="494"/>
    <n v="330589.1998"/>
    <n v="355565.0417"/>
    <n v="8748"/>
    <n v="37.790260608139"/>
    <n v="-24975.841899999999"/>
    <n v="-249.758419"/>
    <n v="-2.855034510745313"/>
  </r>
  <r>
    <x v="495"/>
    <n v="389972.11979999999"/>
    <n v="419827.13650000002"/>
    <n v="10329"/>
    <n v="37.755070171362185"/>
    <n v="-29855.016700000037"/>
    <n v="-298.55016700000039"/>
    <n v="-2.8904072707909805"/>
  </r>
  <r>
    <x v="496"/>
    <n v="166536.00030000001"/>
    <n v="179243.05179999999"/>
    <n v="4410"/>
    <n v="37.763265374149661"/>
    <n v="-12707.051499999972"/>
    <n v="-127.07051499999972"/>
    <n v="-2.8814175736961389"/>
  </r>
  <r>
    <x v="497"/>
    <n v="198442.91269999999"/>
    <n v="213676.4284"/>
    <n v="5257"/>
    <n v="37.748318946167011"/>
    <n v="-15233.515700000018"/>
    <n v="-152.33515700000018"/>
    <n v="-2.8977583602815327"/>
  </r>
  <r>
    <x v="498"/>
    <n v="193182.15059999999"/>
    <n v="208039.1734"/>
    <n v="5118"/>
    <n v="37.74563317702227"/>
    <n v="-14857.022800000006"/>
    <n v="-148.57022800000007"/>
    <n v="-2.9028962094568205"/>
  </r>
  <r>
    <x v="499"/>
    <n v="166403.12700000001"/>
    <n v="179221.5723"/>
    <n v="4410"/>
    <n v="37.733135374149661"/>
    <n v="-12818.445299999992"/>
    <n v="-128.18445299999993"/>
    <n v="-2.9066769387755085"/>
  </r>
  <r>
    <x v="500"/>
    <n v="149178.60149999999"/>
    <n v="160620.2071"/>
    <n v="3952"/>
    <n v="37.747621837044534"/>
    <n v="-11441.60560000001"/>
    <n v="-114.4160560000001"/>
    <n v="-2.8951431174089093"/>
  </r>
  <r>
    <x v="501"/>
    <n v="380592.57760000002"/>
    <n v="409812.4327"/>
    <n v="10084"/>
    <n v="37.742223086076955"/>
    <n v="-29219.855099999986"/>
    <n v="-292.19855099999984"/>
    <n v="-2.8976452895676306"/>
  </r>
  <r>
    <x v="502"/>
    <n v="413700.1789"/>
    <n v="445569.71909999999"/>
    <n v="10964"/>
    <n v="37.732595667639551"/>
    <n v="-31869.540199999989"/>
    <n v="-318.69540199999989"/>
    <n v="-2.9067439073330892"/>
  </r>
  <r>
    <x v="503"/>
    <n v="177159.67310000001"/>
    <n v="190811.5779"/>
    <n v="4695"/>
    <n v="37.733689691160812"/>
    <n v="-13651.904799999989"/>
    <n v="-136.51904799999988"/>
    <n v="-2.9077539510117125"/>
  </r>
  <r>
    <x v="504"/>
    <n v="196420.7635"/>
    <n v="211510.7861"/>
    <n v="5205"/>
    <n v="37.736938232468781"/>
    <n v="-15090.022599999997"/>
    <n v="-150.90022599999998"/>
    <n v="-2.899139788664745"/>
  </r>
  <r>
    <x v="505"/>
    <n v="137940.87220000001"/>
    <n v="147846.05220000001"/>
    <n v="3638"/>
    <n v="37.916677350192415"/>
    <n v="-9905.179999999993"/>
    <n v="-99.051799999999929"/>
    <n v="-2.7226992853216032"/>
  </r>
  <r>
    <x v="506"/>
    <n v="166176.2838"/>
    <n v="178568.18049999999"/>
    <n v="4394"/>
    <n v="37.818908466090122"/>
    <n v="-12391.896699999983"/>
    <n v="-123.91896699999982"/>
    <n v="-2.8201858670914843"/>
  </r>
  <r>
    <x v="507"/>
    <n v="84604.377569999997"/>
    <n v="81763.267389999994"/>
    <n v="2012"/>
    <n v="42.04988944831014"/>
    <n v="2841.1101800000033"/>
    <n v="28.411101800000033"/>
    <n v="1.4120825944334012"/>
  </r>
  <r>
    <x v="508"/>
    <n v="321821.02029999997"/>
    <n v="346487.52029999997"/>
    <n v="8526"/>
    <n v="37.745838646493077"/>
    <n v="-24666.5"/>
    <n v="-246.66499999999999"/>
    <n v="-2.8930917194463994"/>
  </r>
  <r>
    <x v="509"/>
    <n v="418715.4106"/>
    <n v="450936.27929999999"/>
    <n v="11096"/>
    <n v="37.735707516222064"/>
    <n v="-32220.868699999992"/>
    <n v="-322.20868699999994"/>
    <n v="-2.9038273882480166"/>
  </r>
  <r>
    <x v="510"/>
    <n v="169541.2659"/>
    <n v="182419.14139999999"/>
    <n v="4489"/>
    <n v="37.768159033192248"/>
    <n v="-12877.875499999995"/>
    <n v="-128.77875499999993"/>
    <n v="-2.8687626420138104"/>
  </r>
  <r>
    <x v="511"/>
    <n v="256434.5099"/>
    <n v="276173.79249999998"/>
    <n v="6795"/>
    <n v="37.738706387049305"/>
    <n v="-19739.282599999977"/>
    <n v="-197.39282599999976"/>
    <n v="-2.9049716850625424"/>
  </r>
  <r>
    <x v="512"/>
    <n v="199385.9124"/>
    <n v="214719.75279999999"/>
    <n v="5283"/>
    <n v="37.741039636570129"/>
    <n v="-15333.840399999986"/>
    <n v="-153.33840399999985"/>
    <n v="-2.9024872988832078"/>
  </r>
  <r>
    <x v="513"/>
    <n v="243554.2243"/>
    <n v="262251.08010000002"/>
    <n v="6453"/>
    <n v="37.742790066635671"/>
    <n v="-18696.855800000019"/>
    <n v="-186.9685580000002"/>
    <n v="-2.8973897102123072"/>
  </r>
  <r>
    <x v="514"/>
    <n v="217746.0129"/>
    <n v="234483.41699999999"/>
    <n v="5770"/>
    <n v="37.73761055459272"/>
    <n v="-16737.404099999985"/>
    <n v="-167.37404099999986"/>
    <n v="-2.9007632755632557"/>
  </r>
  <r>
    <x v="515"/>
    <n v="472160.75209999998"/>
    <n v="508265.147"/>
    <n v="12507"/>
    <n v="37.75171920524506"/>
    <n v="-36104.394900000014"/>
    <n v="-361.04394900000011"/>
    <n v="-2.8867350203885835"/>
  </r>
  <r>
    <x v="516"/>
    <n v="546135.46239999996"/>
    <n v="588250.18119999999"/>
    <n v="14475"/>
    <n v="37.729565623488774"/>
    <n v="-42114.718800000031"/>
    <n v="-421.14718800000031"/>
    <n v="-2.9094797098445619"/>
  </r>
  <r>
    <x v="517"/>
    <n v="264637.3653"/>
    <n v="284828.65970000002"/>
    <n v="7009"/>
    <n v="37.756793451276927"/>
    <n v="-20191.294400000013"/>
    <n v="-201.91294400000012"/>
    <n v="-2.880766785561423"/>
  </r>
  <r>
    <x v="518"/>
    <n v="440905.9987"/>
    <n v="474967.32760000002"/>
    <n v="11688"/>
    <n v="37.722963612251881"/>
    <n v="-34061.328900000022"/>
    <n v="-340.61328900000024"/>
    <n v="-2.9142136293634517"/>
  </r>
  <r>
    <x v="519"/>
    <n v="334318.89779999998"/>
    <n v="360168.82709999999"/>
    <n v="8863"/>
    <n v="37.720737650908269"/>
    <n v="-25849.929300000018"/>
    <n v="-258.49929300000019"/>
    <n v="-2.9166116777614826"/>
  </r>
  <r>
    <x v="520"/>
    <n v="269835.82860000001"/>
    <n v="290492.10629999998"/>
    <n v="7148"/>
    <n v="37.749836121992168"/>
    <n v="-20656.277699999977"/>
    <n v="-206.56277699999976"/>
    <n v="-2.8897982232792359"/>
  </r>
  <r>
    <x v="521"/>
    <n v="201146.48929999999"/>
    <n v="216428.50039999999"/>
    <n v="5326"/>
    <n v="37.76689622606083"/>
    <n v="-15282.011100000003"/>
    <n v="-152.82011100000003"/>
    <n v="-2.8693223995493811"/>
  </r>
  <r>
    <x v="522"/>
    <n v="293461.08390000003"/>
    <n v="315937.86219999997"/>
    <n v="7775"/>
    <n v="37.744190855305469"/>
    <n v="-22476.778299999947"/>
    <n v="-224.76778299999947"/>
    <n v="-2.890903961414784"/>
  </r>
  <r>
    <x v="523"/>
    <n v="349413.0098"/>
    <n v="376094.7218"/>
    <n v="9255"/>
    <n v="37.753971885467315"/>
    <n v="-26681.712"/>
    <n v="-266.81711999999999"/>
    <n v="-2.8829510534846028"/>
  </r>
  <r>
    <x v="524"/>
    <n v="179602.91519999999"/>
    <n v="193348.5914"/>
    <n v="4758"/>
    <n v="37.747565195460275"/>
    <n v="-13745.676200000016"/>
    <n v="-137.45676200000017"/>
    <n v="-2.8889609499789861"/>
  </r>
  <r>
    <x v="525"/>
    <n v="109810.5457"/>
    <n v="106166.0816"/>
    <n v="2613"/>
    <n v="42.024701760428627"/>
    <n v="3644.4640999999974"/>
    <n v="36.444640999999976"/>
    <n v="1.3947432453119011"/>
  </r>
  <r>
    <x v="526"/>
    <n v="76956.92035"/>
    <n v="74212.790569999997"/>
    <n v="1830"/>
    <n v="42.052961939890707"/>
    <n v="2744.1297800000029"/>
    <n v="27.441297800000029"/>
    <n v="1.4995244699453567"/>
  </r>
  <r>
    <x v="527"/>
    <n v="71199.588399999993"/>
    <n v="68669.394960000005"/>
    <n v="1694"/>
    <n v="42.030453600944504"/>
    <n v="2530.1934399999882"/>
    <n v="25.301934399999883"/>
    <n v="1.4936206847697686"/>
  </r>
  <r>
    <x v="528"/>
    <n v="68988.346669999999"/>
    <n v="66539.165200000003"/>
    <n v="1642"/>
    <n v="42.014827448233859"/>
    <n v="2449.1814699999959"/>
    <n v="24.49181469999996"/>
    <n v="1.4915843300852594"/>
  </r>
  <r>
    <x v="529"/>
    <n v="155156.8792"/>
    <n v="149423.24359999999"/>
    <n v="3690"/>
    <n v="42.047934742547426"/>
    <n v="5733.6356000000087"/>
    <n v="57.336356000000087"/>
    <n v="1.5538307859078615"/>
  </r>
  <r>
    <x v="530"/>
    <n v="185109.52309999999"/>
    <n v="178347.3694"/>
    <n v="4404"/>
    <n v="42.032135127157126"/>
    <n v="6762.1536999999953"/>
    <n v="67.621536999999947"/>
    <n v="1.5354572434150762"/>
  </r>
  <r>
    <x v="531"/>
    <n v="83779.544009999998"/>
    <n v="80659.821809999994"/>
    <n v="1992"/>
    <n v="42.058004021084336"/>
    <n v="3119.7222000000038"/>
    <n v="31.197222000000039"/>
    <n v="1.5661256024096404"/>
  </r>
  <r>
    <x v="532"/>
    <n v="149501.57449999999"/>
    <n v="143962.8719"/>
    <n v="3557"/>
    <n v="42.030243041889229"/>
    <n v="5538.7025999999896"/>
    <n v="55.387025999999899"/>
    <n v="1.5571275231936996"/>
  </r>
  <r>
    <x v="533"/>
    <n v="100477.2968"/>
    <n v="96810.103579999995"/>
    <n v="2395"/>
    <n v="41.952942296450935"/>
    <n v="3667.193220000001"/>
    <n v="36.671932200000008"/>
    <n v="1.5311871482254702"/>
  </r>
  <r>
    <x v="534"/>
    <n v="89072.705350000004"/>
    <n v="85639.307750000007"/>
    <n v="2120"/>
    <n v="42.015427051886796"/>
    <n v="3433.3975999999966"/>
    <n v="34.333975999999964"/>
    <n v="1.6195271698113192"/>
  </r>
  <r>
    <x v="535"/>
    <n v="78746.595860000001"/>
    <n v="75673.781990000003"/>
    <n v="1875"/>
    <n v="41.998184458666664"/>
    <n v="3072.8138699999981"/>
    <n v="30.728138699999981"/>
    <n v="1.638834063999999"/>
  </r>
  <r>
    <x v="536"/>
    <n v="141913.3824"/>
    <n v="136017.75039999999"/>
    <n v="3376"/>
    <n v="42.03595450236967"/>
    <n v="5895.6320000000123"/>
    <n v="58.956320000000126"/>
    <n v="1.746336492890999"/>
  </r>
  <r>
    <x v="537"/>
    <n v="169304.27830000001"/>
    <n v="162287.90919999999"/>
    <n v="4027"/>
    <n v="42.042284156940653"/>
    <n v="7016.3691000000108"/>
    <n v="70.163691000000114"/>
    <n v="1.742331537124413"/>
  </r>
  <r>
    <x v="538"/>
    <n v="89512.242840000006"/>
    <n v="85781.807029999996"/>
    <n v="2128"/>
    <n v="42.064023890977445"/>
    <n v="3730.43581000001"/>
    <n v="37.304358100000101"/>
    <n v="1.7530243468045159"/>
  </r>
  <r>
    <x v="539"/>
    <n v="85984.075339999996"/>
    <n v="82427.231539999993"/>
    <n v="2046"/>
    <n v="42.025452267839682"/>
    <n v="3556.8438000000024"/>
    <n v="35.568438000000022"/>
    <n v="1.7384378299120247"/>
  </r>
  <r>
    <x v="540"/>
    <n v="64956.462079999998"/>
    <n v="62169.777119999999"/>
    <n v="1546"/>
    <n v="42.015822820181114"/>
    <n v="2786.6849599999987"/>
    <n v="27.866849599999988"/>
    <n v="1.8025129107373858"/>
  </r>
  <r>
    <x v="541"/>
    <n v="106613.4328"/>
    <n v="113428.4743"/>
    <n v="2822"/>
    <n v="37.77938795180723"/>
    <n v="-6815.0415000000066"/>
    <n v="-68.150415000000066"/>
    <n v="-2.4149686392629364"/>
  </r>
  <r>
    <x v="542"/>
    <n v="183843.8173"/>
    <n v="195365.73069999999"/>
    <n v="4865"/>
    <n v="37.789068304213771"/>
    <n v="-11521.91339999999"/>
    <n v="-115.2191339999999"/>
    <n v="-2.3683275231243557"/>
  </r>
  <r>
    <x v="543"/>
    <n v="319579.7941"/>
    <n v="339241.69179999997"/>
    <n v="8450"/>
    <n v="37.820093976331364"/>
    <n v="-19661.897699999972"/>
    <n v="-196.61897699999972"/>
    <n v="-2.3268517988165649"/>
  </r>
  <r>
    <x v="544"/>
    <n v="369245.75870000001"/>
    <n v="392017.97350000002"/>
    <n v="9770"/>
    <n v="37.79383405322416"/>
    <n v="-22772.214800000016"/>
    <n v="-227.72214800000017"/>
    <n v="-2.33083058341863"/>
  </r>
  <r>
    <x v="545"/>
    <n v="185648.49110000001"/>
    <n v="197095.10870000001"/>
    <n v="4914"/>
    <n v="37.779505718355722"/>
    <n v="-11446.617599999998"/>
    <n v="-114.46617599999998"/>
    <n v="-2.3293890109890105"/>
  </r>
  <r>
    <x v="546"/>
    <n v="165557.76180000001"/>
    <n v="175871.1109"/>
    <n v="4385"/>
    <n v="37.755475895096922"/>
    <n v="-10313.349099999992"/>
    <n v="-103.13349099999992"/>
    <n v="-2.351961026225768"/>
  </r>
  <r>
    <x v="547"/>
    <n v="212465.08319999999"/>
    <n v="225678.9345"/>
    <n v="5627"/>
    <n v="37.758145228363247"/>
    <n v="-13213.851300000009"/>
    <n v="-132.1385130000001"/>
    <n v="-2.3482941709614376"/>
  </r>
  <r>
    <x v="548"/>
    <n v="305231.9081"/>
    <n v="324248.84149999998"/>
    <n v="8086"/>
    <n v="37.748195411822905"/>
    <n v="-19016.93339999998"/>
    <n v="-190.16933399999979"/>
    <n v="-2.3518344546129089"/>
  </r>
  <r>
    <x v="549"/>
    <n v="250481.6177"/>
    <n v="266061.92839999998"/>
    <n v="6639"/>
    <n v="37.728817246573279"/>
    <n v="-15580.310699999973"/>
    <n v="-155.80310699999973"/>
    <n v="-2.3467857659285998"/>
  </r>
  <r>
    <x v="550"/>
    <n v="268410.48070000001"/>
    <n v="284592.99469999998"/>
    <n v="7104"/>
    <n v="37.783006855292797"/>
    <n v="-16182.513999999966"/>
    <n v="-161.82513999999966"/>
    <n v="-2.2779439752252206"/>
  </r>
  <r>
    <x v="551"/>
    <n v="316365.4987"/>
    <n v="335025.07640000002"/>
    <n v="8364"/>
    <n v="37.824665076518414"/>
    <n v="-18659.577700000023"/>
    <n v="-186.59577700000023"/>
    <n v="-2.2309394667623175"/>
  </r>
  <r>
    <x v="552"/>
    <n v="156873.04370000001"/>
    <n v="165968.62450000001"/>
    <n v="4146"/>
    <n v="37.837203014954177"/>
    <n v="-9095.5807999999961"/>
    <n v="-90.955807999999962"/>
    <n v="-2.1938207428847072"/>
  </r>
  <r>
    <x v="553"/>
    <n v="173987.75150000001"/>
    <n v="184188.97899999999"/>
    <n v="4601"/>
    <n v="37.815203542708112"/>
    <n v="-10201.227499999979"/>
    <n v="-102.01227499999979"/>
    <n v="-2.2171761573570916"/>
  </r>
  <r>
    <x v="554"/>
    <n v="135753.766"/>
    <n v="143799.5987"/>
    <n v="3593"/>
    <n v="37.782846089618701"/>
    <n v="-8045.832699999999"/>
    <n v="-80.458326999999997"/>
    <n v="-2.2393077372669077"/>
  </r>
  <r>
    <x v="555"/>
    <n v="84426.509409999999"/>
    <n v="84588.963040000002"/>
    <n v="2114"/>
    <n v="39.936854025543994"/>
    <n v="-162.45363000000361"/>
    <n v="-1.6245363000000361"/>
    <n v="-7.6846561021761406E-2"/>
  </r>
  <r>
    <x v="556"/>
    <n v="70815.190289999999"/>
    <n v="71913.068580000006"/>
    <n v="1797"/>
    <n v="39.407451469115195"/>
    <n v="-1097.8782900000078"/>
    <n v="-10.978782900000079"/>
    <n v="-0.61095063439065544"/>
  </r>
  <r>
    <x v="557"/>
    <n v="125983.15180000001"/>
    <n v="127884.58719999999"/>
    <n v="3195"/>
    <n v="39.431346416275431"/>
    <n v="-1901.4353999999876"/>
    <n v="-19.014353999999877"/>
    <n v="-0.59512845070422149"/>
  </r>
  <r>
    <x v="558"/>
    <n v="142378.18400000001"/>
    <n v="143924.56510000001"/>
    <n v="3595"/>
    <n v="39.604501808066765"/>
    <n v="-1546.3810999999987"/>
    <n v="-15.463810999999987"/>
    <n v="-0.43014773296244746"/>
  </r>
  <r>
    <x v="559"/>
    <n v="57427.680710000001"/>
    <n v="58723.040529999998"/>
    <n v="1467"/>
    <n v="39.146339952283576"/>
    <n v="-1295.3598199999979"/>
    <n v="-12.953598199999979"/>
    <n v="-0.88299919563735363"/>
  </r>
  <r>
    <x v="560"/>
    <n v="63331.330999999998"/>
    <n v="64690.059070000003"/>
    <n v="1610"/>
    <n v="39.336230434782607"/>
    <n v="-1358.7280700000047"/>
    <n v="-13.587280700000047"/>
    <n v="-0.84393047826087242"/>
  </r>
  <r>
    <x v="561"/>
    <n v="51241.028550000003"/>
    <n v="52509.916219999999"/>
    <n v="1307"/>
    <n v="39.205071576128539"/>
    <n v="-1268.8876699999964"/>
    <n v="-12.688876699999964"/>
    <n v="-0.97083983932669959"/>
  </r>
  <r>
    <x v="562"/>
    <n v="80326.44081"/>
    <n v="81730.270699999994"/>
    <n v="2050"/>
    <n v="39.183629663414635"/>
    <n v="-1403.8298899999936"/>
    <n v="-14.038298899999937"/>
    <n v="-0.68479506829267978"/>
  </r>
  <r>
    <x v="563"/>
    <n v="71912.565730000002"/>
    <n v="73762.62917"/>
    <n v="1849"/>
    <n v="38.892680221741486"/>
    <n v="-1850.0634399999981"/>
    <n v="-18.500634399999981"/>
    <n v="-1.0005751433207128"/>
  </r>
  <r>
    <x v="564"/>
    <n v="119204.3095"/>
    <n v="122669.6994"/>
    <n v="3070"/>
    <n v="38.828765309446254"/>
    <n v="-3465.3898999999947"/>
    <n v="-34.653898999999946"/>
    <n v="-1.1287914983713339"/>
  </r>
  <r>
    <x v="565"/>
    <n v="129441.2787"/>
    <n v="132493.43150000001"/>
    <n v="3322"/>
    <n v="38.964864148103551"/>
    <n v="-3052.1528000000108"/>
    <n v="-30.521528000000107"/>
    <n v="-0.91876965683323619"/>
  </r>
  <r>
    <x v="566"/>
    <n v="77645.749939999994"/>
    <n v="79555.634739999994"/>
    <n v="1982"/>
    <n v="39.175454056508578"/>
    <n v="-1909.8847999999998"/>
    <n v="-19.098847999999997"/>
    <n v="-0.96361493440968704"/>
  </r>
  <r>
    <x v="567"/>
    <n v="69926.65036"/>
    <n v="71362.51784"/>
    <n v="1787"/>
    <n v="39.13075006155568"/>
    <n v="-1435.8674800000008"/>
    <n v="-14.358674800000008"/>
    <n v="-0.80350726357022983"/>
  </r>
  <r>
    <x v="568"/>
    <n v="71973.044299999994"/>
    <n v="73851.788400000005"/>
    <n v="1846"/>
    <n v="38.988648049837487"/>
    <n v="-1878.7441000000108"/>
    <n v="-18.787441000000108"/>
    <n v="-1.0177378656554772"/>
  </r>
  <r>
    <x v="569"/>
    <n v="44304.898359999999"/>
    <n v="45468.83698"/>
    <n v="1142"/>
    <n v="38.795882977232921"/>
    <n v="-1163.9386200000008"/>
    <n v="-11.639386200000008"/>
    <n v="-1.0192107005253948"/>
  </r>
  <r>
    <x v="570"/>
    <n v="66799.723729999998"/>
    <n v="69323.647870000001"/>
    <n v="1734"/>
    <n v="38.523485426758938"/>
    <n v="-2523.9241400000028"/>
    <n v="-25.239241400000029"/>
    <n v="-1.4555502537485598"/>
  </r>
  <r>
    <x v="571"/>
    <n v="125689.5928"/>
    <n v="130428.2264"/>
    <n v="3259"/>
    <n v="38.566920159558144"/>
    <n v="-4738.633600000001"/>
    <n v="-47.386336000000007"/>
    <n v="-1.4540146057072725"/>
  </r>
  <r>
    <x v="572"/>
    <n v="138624.94500000001"/>
    <n v="143537.3952"/>
    <n v="3572"/>
    <n v="38.80877519596865"/>
    <n v="-4912.450199999992"/>
    <n v="-49.124501999999922"/>
    <n v="-1.3752660134378478"/>
  </r>
  <r>
    <x v="573"/>
    <n v="81715.045329999994"/>
    <n v="85089.223429999998"/>
    <n v="2109"/>
    <n v="38.745872607871028"/>
    <n v="-3374.1781000000046"/>
    <n v="-33.741781000000046"/>
    <n v="-1.5998947842579443"/>
  </r>
  <r>
    <x v="574"/>
    <n v="86842.861359999995"/>
    <n v="90242.794099999999"/>
    <n v="2242"/>
    <n v="38.734550115967885"/>
    <n v="-3399.9327400000038"/>
    <n v="-33.999327400000041"/>
    <n v="-1.5164731222123122"/>
  </r>
  <r>
    <x v="575"/>
    <n v="56976.785279999996"/>
    <n v="59094.076860000001"/>
    <n v="1474"/>
    <n v="38.65453546811397"/>
    <n v="-2117.2915800000046"/>
    <n v="-21.172915800000045"/>
    <n v="-1.4364257666214415"/>
  </r>
  <r>
    <x v="576"/>
    <n v="53433.668030000001"/>
    <n v="55516.525560000002"/>
    <n v="1381"/>
    <n v="38.692011607530773"/>
    <n v="-2082.8575300000011"/>
    <n v="-20.828575300000011"/>
    <n v="-1.5082241346850116"/>
  </r>
  <r>
    <x v="577"/>
    <n v="55134.081819999999"/>
    <n v="57064.750699999997"/>
    <n v="1423"/>
    <n v="38.744962628250178"/>
    <n v="-1930.6688799999974"/>
    <n v="-19.306688799999975"/>
    <n v="-1.356759578355585"/>
  </r>
  <r>
    <x v="578"/>
    <n v="145033.61079999999"/>
    <n v="149876.87330000001"/>
    <n v="3740"/>
    <n v="38.779040320855614"/>
    <n v="-4843.2625000000116"/>
    <n v="-48.432625000000115"/>
    <n v="-1.2949899732620351"/>
  </r>
  <r>
    <x v="579"/>
    <n v="173306.90650000001"/>
    <n v="178699.97589999999"/>
    <n v="4453"/>
    <n v="38.919134628340444"/>
    <n v="-5393.0693999999785"/>
    <n v="-53.930693999999782"/>
    <n v="-1.2111092297327597"/>
  </r>
  <r>
    <x v="580"/>
    <n v="88154.338709999996"/>
    <n v="90828.661699999997"/>
    <n v="2258"/>
    <n v="39.040894025686448"/>
    <n v="-2674.3229900000006"/>
    <n v="-26.743229900000006"/>
    <n v="-1.1843768777679364"/>
  </r>
  <r>
    <x v="581"/>
    <n v="81142.027849999999"/>
    <n v="83114.576809999999"/>
    <n v="2074"/>
    <n v="39.123446407907423"/>
    <n v="-1972.5489600000001"/>
    <n v="-19.7254896"/>
    <n v="-0.9510843587270974"/>
  </r>
  <r>
    <x v="582"/>
    <n v="77672.88278"/>
    <n v="80417.746440000003"/>
    <n v="2007"/>
    <n v="38.700987932237169"/>
    <n v="-2744.8636600000027"/>
    <n v="-27.448636600000029"/>
    <n v="-1.3676450722471363"/>
  </r>
  <r>
    <x v="583"/>
    <n v="75483.422550000003"/>
    <n v="78024.284679999997"/>
    <n v="1948"/>
    <n v="38.749190220739223"/>
    <n v="-2540.8621299999941"/>
    <n v="-25.40862129999994"/>
    <n v="-1.3043440092402434"/>
  </r>
  <r>
    <x v="584"/>
    <n v="74354.570099999997"/>
    <n v="76978.305240000002"/>
    <n v="1922"/>
    <n v="38.686040634755464"/>
    <n v="-2623.7351400000043"/>
    <n v="-26.237351400000044"/>
    <n v="-1.3651067325702415"/>
  </r>
  <r>
    <x v="585"/>
    <n v="120326.8763"/>
    <n v="123707.7616"/>
    <n v="3088"/>
    <n v="38.965957351036273"/>
    <n v="-3380.8852999999945"/>
    <n v="-33.808852999999942"/>
    <n v="-1.0948462759067339"/>
  </r>
  <r>
    <x v="586"/>
    <n v="131867.99350000001"/>
    <n v="135721.42600000001"/>
    <n v="3388"/>
    <n v="38.922076003541918"/>
    <n v="-3853.4324999999953"/>
    <n v="-38.534324999999953"/>
    <n v="-1.137376770956315"/>
  </r>
  <r>
    <x v="587"/>
    <n v="75504.002739999996"/>
    <n v="77978.694470000002"/>
    <n v="1944"/>
    <n v="38.839507582304527"/>
    <n v="-2474.6917300000059"/>
    <n v="-24.74691730000006"/>
    <n v="-1.2729895730452705"/>
  </r>
  <r>
    <x v="588"/>
    <n v="69968.077699999994"/>
    <n v="72665.725529999996"/>
    <n v="1812"/>
    <n v="38.613729415011036"/>
    <n v="-2697.6478300000017"/>
    <n v="-26.976478300000018"/>
    <n v="-1.4887681181015462"/>
  </r>
  <r>
    <x v="589"/>
    <n v="60187.14905"/>
    <n v="62538.493280000002"/>
    <n v="1563"/>
    <n v="38.507453007037746"/>
    <n v="-2351.3442300000024"/>
    <n v="-23.513442300000023"/>
    <n v="-1.5043789059500976"/>
  </r>
  <r>
    <x v="590"/>
    <n v="44698.700750000004"/>
    <n v="46849.567150000003"/>
    <n v="1171"/>
    <n v="38.171392613151156"/>
    <n v="-2150.866399999999"/>
    <n v="-21.508663999999989"/>
    <n v="-1.8367774551665235"/>
  </r>
  <r>
    <x v="591"/>
    <n v="39463.409059999998"/>
    <n v="41414.418369999999"/>
    <n v="1035"/>
    <n v="38.128897642512072"/>
    <n v="-1951.0093100000013"/>
    <n v="-19.510093100000013"/>
    <n v="-1.8850331497584554"/>
  </r>
  <r>
    <x v="592"/>
    <n v="85794.096900000004"/>
    <n v="89898.894230000005"/>
    <n v="2247"/>
    <n v="38.181618558077439"/>
    <n v="-4104.7973300000012"/>
    <n v="-41.04797330000001"/>
    <n v="-1.8267900890075661"/>
  </r>
  <r>
    <x v="593"/>
    <n v="117288.0101"/>
    <n v="122504.3572"/>
    <n v="3068"/>
    <n v="38.22946874185137"/>
    <n v="-5216.347099999999"/>
    <n v="-52.163470999999987"/>
    <n v="-1.7002435136896998"/>
  </r>
  <r>
    <x v="594"/>
    <n v="71056.061000000002"/>
    <n v="74589.172869999995"/>
    <n v="1866"/>
    <n v="38.079346730975352"/>
    <n v="-3533.1118699999934"/>
    <n v="-35.331118699999934"/>
    <n v="-1.8934147213290424"/>
  </r>
  <r>
    <x v="595"/>
    <n v="64394.07445"/>
    <n v="67505.254140000005"/>
    <n v="1690"/>
    <n v="38.103002633136093"/>
    <n v="-3111.1796900000045"/>
    <n v="-31.111796900000044"/>
    <n v="-1.8409347278106536"/>
  </r>
  <r>
    <x v="596"/>
    <n v="35165.97208"/>
    <n v="36841.967320000003"/>
    <n v="922"/>
    <n v="38.140967548806941"/>
    <n v="-1675.9952400000038"/>
    <n v="-16.759952400000039"/>
    <n v="-1.817782255965297"/>
  </r>
  <r>
    <x v="597"/>
    <n v="23234.183199999999"/>
    <n v="24104.08598"/>
    <n v="604"/>
    <n v="38.467190728476822"/>
    <n v="-869.90278000000035"/>
    <n v="-8.6990278000000032"/>
    <n v="-1.4402363907284774"/>
  </r>
  <r>
    <x v="598"/>
    <n v="24754.957180000001"/>
    <n v="25407.174070000001"/>
    <n v="643"/>
    <n v="38.499155800933131"/>
    <n v="-652.21688999999969"/>
    <n v="-6.5221688999999969"/>
    <n v="-1.0143341990668735"/>
  </r>
  <r>
    <x v="599"/>
    <n v="76691.283030000006"/>
    <n v="78691.956319999998"/>
    <n v="2006"/>
    <n v="38.230948668993022"/>
    <n v="-2000.6732899999915"/>
    <n v="-20.006732899999914"/>
    <n v="-0.99734461116649631"/>
  </r>
  <r>
    <x v="600"/>
    <n v="102231.2118"/>
    <n v="104713.00750000001"/>
    <n v="2677"/>
    <n v="38.188723122898772"/>
    <n v="-2481.7957000000024"/>
    <n v="-24.817957000000025"/>
    <n v="-0.9270809488233106"/>
  </r>
  <r>
    <x v="601"/>
    <n v="56974.868029999998"/>
    <n v="57548.98515"/>
    <n v="1467"/>
    <n v="38.837674185412403"/>
    <n v="-574.11712000000261"/>
    <n v="-5.7411712000000259"/>
    <n v="-0.39135454669393499"/>
  </r>
  <r>
    <x v="602"/>
    <n v="59442.731119999997"/>
    <n v="59785.428610000003"/>
    <n v="1528"/>
    <n v="38.902310942408377"/>
    <n v="-342.69749000000593"/>
    <n v="-3.4269749000000593"/>
    <n v="-0.2242784620418887"/>
  </r>
  <r>
    <x v="603"/>
    <n v="217683.36230000001"/>
    <n v="246975.73079999999"/>
    <n v="6360"/>
    <n v="34.226943757861633"/>
    <n v="-29292.368499999982"/>
    <n v="-292.92368499999981"/>
    <n v="-4.6057183176100605"/>
  </r>
  <r>
    <x v="604"/>
    <n v="275458.80690000003"/>
    <n v="307092.27439999999"/>
    <n v="8035"/>
    <n v="34.28236551337897"/>
    <n v="-31633.46749999997"/>
    <n v="-316.33467499999972"/>
    <n v="-3.9369592408214027"/>
  </r>
  <r>
    <x v="605"/>
    <n v="228731.86550000001"/>
    <n v="252845.44560000001"/>
    <n v="6675"/>
    <n v="34.266946142322098"/>
    <n v="-24113.580099999992"/>
    <n v="-241.13580099999993"/>
    <n v="-3.6125213632958788"/>
  </r>
  <r>
    <x v="606"/>
    <n v="387639.12"/>
    <n v="426783.30219999998"/>
    <n v="11330"/>
    <n v="34.213514563106799"/>
    <n v="-39144.182199999981"/>
    <n v="-391.44182199999983"/>
    <n v="-3.4549145807590449"/>
  </r>
  <r>
    <x v="607"/>
    <n v="461188.0049"/>
    <n v="504578.1888"/>
    <n v="13484"/>
    <n v="34.20261086472857"/>
    <n v="-43390.183900000004"/>
    <n v="-433.90183900000005"/>
    <n v="-3.217901505487986"/>
  </r>
  <r>
    <x v="608"/>
    <n v="202249.67720000001"/>
    <n v="220152.1868"/>
    <n v="5913"/>
    <n v="34.204241028242855"/>
    <n v="-17902.50959999999"/>
    <n v="-179.02509599999991"/>
    <n v="-3.0276525621511907"/>
  </r>
  <r>
    <x v="609"/>
    <n v="332559.76500000001"/>
    <n v="361970.28590000002"/>
    <n v="9721"/>
    <n v="34.210447999177042"/>
    <n v="-29410.520900000003"/>
    <n v="-294.10520900000006"/>
    <n v="-3.0254624935706205"/>
  </r>
  <r>
    <x v="610"/>
    <n v="384806.77159999998"/>
    <n v="418101.59749999997"/>
    <n v="11257"/>
    <n v="34.183776459092115"/>
    <n v="-33294.825899999996"/>
    <n v="-332.94825899999995"/>
    <n v="-2.9576997334991559"/>
  </r>
  <r>
    <x v="611"/>
    <n v="345776.25030000001"/>
    <n v="373816.16840000002"/>
    <n v="10102"/>
    <n v="34.228494387250052"/>
    <n v="-28039.91810000001"/>
    <n v="-280.39918100000011"/>
    <n v="-2.7756798752722243"/>
  </r>
  <r>
    <x v="612"/>
    <n v="271551.09509999998"/>
    <n v="293343.87400000001"/>
    <n v="7938"/>
    <n v="34.209006689342402"/>
    <n v="-21792.778900000034"/>
    <n v="-217.92778900000033"/>
    <n v="-2.7453740110859202"/>
  </r>
  <r>
    <x v="613"/>
    <n v="340440.20549999998"/>
    <n v="366359.65860000002"/>
    <n v="9936"/>
    <n v="34.263305706521734"/>
    <n v="-25919.453100000042"/>
    <n v="-259.19453100000044"/>
    <n v="-2.6086406099033859"/>
  </r>
  <r>
    <x v="614"/>
    <n v="364416.7316"/>
    <n v="392128.30129999999"/>
    <n v="10643"/>
    <n v="34.240038673306401"/>
    <n v="-27711.569699999993"/>
    <n v="-277.11569699999995"/>
    <n v="-2.6037367001785205"/>
  </r>
  <r>
    <x v="615"/>
    <n v="164719.60449999999"/>
    <n v="176647.84270000001"/>
    <n v="4800"/>
    <n v="34.316584270833332"/>
    <n v="-11928.238200000022"/>
    <n v="-119.28238200000021"/>
    <n v="-2.4850496250000047"/>
  </r>
  <r>
    <x v="616"/>
    <n v="178921.0993"/>
    <n v="192507.5287"/>
    <n v="5228"/>
    <n v="34.223622666411629"/>
    <n v="-13586.429399999994"/>
    <n v="-135.86429399999994"/>
    <n v="-2.5987814460596774"/>
  </r>
  <r>
    <x v="617"/>
    <n v="70286.997810000001"/>
    <n v="66639.698050000006"/>
    <n v="1810"/>
    <n v="38.83259547513812"/>
    <n v="3647.2997599999944"/>
    <n v="36.472997599999943"/>
    <n v="2.0150827403314886"/>
  </r>
  <r>
    <x v="618"/>
    <n v="76013.677899999995"/>
    <n v="72211.103170000002"/>
    <n v="1961"/>
    <n v="38.76271183069862"/>
    <n v="3802.574729999993"/>
    <n v="38.025747299999928"/>
    <n v="1.9390998113207512"/>
  </r>
  <r>
    <x v="619"/>
    <n v="48406.787149999996"/>
    <n v="45316.542730000001"/>
    <n v="1232"/>
    <n v="39.291223336038961"/>
    <n v="3090.2444199999954"/>
    <n v="30.902444199999955"/>
    <n v="2.5083152759740224"/>
  </r>
  <r>
    <x v="620"/>
    <n v="85940.026939999996"/>
    <n v="81559.845619999993"/>
    <n v="2194"/>
    <n v="39.170477183226978"/>
    <n v="4380.1813200000033"/>
    <n v="43.801813200000034"/>
    <n v="1.9964363354603478"/>
  </r>
  <r>
    <x v="621"/>
    <n v="57381.751450000003"/>
    <n v="54340.891510000001"/>
    <n v="1469"/>
    <n v="39.061777705922395"/>
    <n v="3040.8599400000021"/>
    <n v="30.408599400000021"/>
    <n v="2.0700203812117102"/>
  </r>
  <r>
    <x v="622"/>
    <n v="32479.79639"/>
    <n v="30763.688119999999"/>
    <n v="829"/>
    <n v="39.17948901085645"/>
    <n v="1716.1082700000006"/>
    <n v="17.161082700000005"/>
    <n v="2.0700944149577811"/>
  </r>
  <r>
    <x v="623"/>
    <n v="52160.183929999999"/>
    <n v="49656.007749999997"/>
    <n v="1329"/>
    <n v="39.247692949586153"/>
    <n v="2504.1761800000022"/>
    <n v="25.041761800000021"/>
    <n v="1.8842559668924019"/>
  </r>
  <r>
    <x v="624"/>
    <n v="51002.839569999996"/>
    <n v="48601.967499999999"/>
    <n v="1300"/>
    <n v="39.232953515384615"/>
    <n v="2400.8720699999976"/>
    <n v="24.008720699999976"/>
    <n v="1.8468246692307675"/>
  </r>
  <r>
    <x v="625"/>
    <n v="30194.715960000001"/>
    <n v="28605.460800000001"/>
    <n v="773"/>
    <n v="39.061728279430788"/>
    <n v="1589.2551600000006"/>
    <n v="15.892551600000006"/>
    <n v="2.0559575161707642"/>
  </r>
  <r>
    <x v="626"/>
    <n v="29751.222610000001"/>
    <n v="28084.235130000001"/>
    <n v="760"/>
    <n v="39.146345539473685"/>
    <n v="1666.9874799999998"/>
    <n v="16.669874799999999"/>
    <n v="2.193404578947368"/>
  </r>
  <r>
    <x v="627"/>
    <n v="68504.639439999999"/>
    <n v="64881.97565"/>
    <n v="1755"/>
    <n v="39.033982586894588"/>
    <n v="3622.6637899999987"/>
    <n v="36.226637899999986"/>
    <n v="2.0641958917378909"/>
  </r>
  <r>
    <x v="628"/>
    <n v="68996.561759999997"/>
    <n v="65211.571770000002"/>
    <n v="1766"/>
    <n v="39.069400770101922"/>
    <n v="3784.9899899999946"/>
    <n v="37.849899899999947"/>
    <n v="2.143255939977347"/>
  </r>
  <r>
    <x v="629"/>
    <n v="41855.928760000003"/>
    <n v="39629.451869999997"/>
    <n v="1078"/>
    <n v="38.827392170686458"/>
    <n v="2226.4768900000054"/>
    <n v="22.264768900000053"/>
    <n v="2.0653774489795969"/>
  </r>
  <r>
    <x v="630"/>
    <n v="44303.466489999999"/>
    <n v="41485.458720000002"/>
    <n v="1124"/>
    <n v="39.415895453736653"/>
    <n v="2818.0077699999965"/>
    <n v="28.180077699999966"/>
    <n v="2.5071243505338048"/>
  </r>
  <r>
    <x v="631"/>
    <n v="46599.298130000003"/>
    <n v="43806.73201"/>
    <n v="1182"/>
    <n v="39.424110093062609"/>
    <n v="2792.5661200000031"/>
    <n v="27.925661200000032"/>
    <n v="2.3625770896785139"/>
  </r>
  <r>
    <x v="632"/>
    <n v="125182.75719999999"/>
    <n v="138583.83780000001"/>
    <n v="3725"/>
    <n v="33.606109315436242"/>
    <n v="-13401.080600000016"/>
    <n v="-134.01080600000014"/>
    <n v="-3.5976055302013465"/>
  </r>
  <r>
    <x v="633"/>
    <n v="150036.80499999999"/>
    <n v="167704.8554"/>
    <n v="4492"/>
    <n v="33.400891585040071"/>
    <n v="-17668.050400000007"/>
    <n v="-176.68050400000007"/>
    <n v="-3.9332258236865556"/>
  </r>
  <r>
    <x v="634"/>
    <n v="368037.69189999998"/>
    <n v="413540.80719999998"/>
    <n v="11030"/>
    <n v="33.366971160471437"/>
    <n v="-45503.115300000005"/>
    <n v="-455.03115300000007"/>
    <n v="-4.1253957660924758"/>
  </r>
  <r>
    <x v="635"/>
    <n v="351319.63809999998"/>
    <n v="397626.58510000003"/>
    <n v="10528"/>
    <n v="33.370026415273557"/>
    <n v="-46306.947000000044"/>
    <n v="-463.06947000000042"/>
    <n v="-4.3984562120060833"/>
  </r>
  <r>
    <x v="636"/>
    <n v="163289.93669999999"/>
    <n v="185404.04399999999"/>
    <n v="4895"/>
    <n v="33.358516179775279"/>
    <n v="-22114.107300000003"/>
    <n v="-221.14107300000003"/>
    <n v="-4.5176930132788566"/>
  </r>
  <r>
    <x v="637"/>
    <n v="190892.459"/>
    <n v="216571.0595"/>
    <n v="5720"/>
    <n v="33.372807517482521"/>
    <n v="-25678.6005"/>
    <n v="-256.78600499999999"/>
    <n v="-4.4892658216783214"/>
  </r>
  <r>
    <x v="638"/>
    <n v="143082.13329999999"/>
    <n v="162929.01850000001"/>
    <n v="4288"/>
    <n v="33.368034818097009"/>
    <n v="-19846.885200000019"/>
    <n v="-198.4688520000002"/>
    <n v="-4.6284713619403028"/>
  </r>
  <r>
    <x v="639"/>
    <n v="323548.78529999999"/>
    <n v="368434.88589999999"/>
    <n v="9693"/>
    <n v="33.379633271432994"/>
    <n v="-44886.100600000005"/>
    <n v="-448.86100600000003"/>
    <n v="-4.6307748478283299"/>
  </r>
  <r>
    <x v="640"/>
    <n v="402312.33319999999"/>
    <n v="459285.80450000003"/>
    <n v="12065"/>
    <n v="33.345406813095728"/>
    <n v="-56973.471300000034"/>
    <n v="-569.73471300000028"/>
    <n v="-4.7222106340654815"/>
  </r>
  <r>
    <x v="641"/>
    <n v="393635.17489999998"/>
    <n v="448390.96580000001"/>
    <n v="11758"/>
    <n v="33.478072367749618"/>
    <n v="-54755.790900000022"/>
    <n v="-547.55790900000022"/>
    <n v="-4.6568966575948307"/>
  </r>
  <r>
    <x v="642"/>
    <n v="451100.0601"/>
    <n v="515549.38990000001"/>
    <n v="13508"/>
    <n v="33.395029619484752"/>
    <n v="-64449.329800000007"/>
    <n v="-644.4932980000001"/>
    <n v="-4.7711970535978683"/>
  </r>
  <r>
    <x v="643"/>
    <n v="202902.6249"/>
    <n v="232360.3272"/>
    <n v="6085"/>
    <n v="33.34472060805259"/>
    <n v="-29457.702300000004"/>
    <n v="-294.57702300000005"/>
    <n v="-4.8410357107641753"/>
  </r>
  <r>
    <x v="644"/>
    <n v="294557.64640000003"/>
    <n v="336897.92239999998"/>
    <n v="8828"/>
    <n v="33.366294336202991"/>
    <n v="-42340.275999999954"/>
    <n v="-423.40275999999955"/>
    <n v="-4.7961345718169408"/>
  </r>
  <r>
    <x v="645"/>
    <n v="221618.32819999999"/>
    <n v="253291.06229999999"/>
    <n v="6636"/>
    <n v="33.39637254370102"/>
    <n v="-31672.734100000001"/>
    <n v="-316.72734100000002"/>
    <n v="-4.7728652953586499"/>
  </r>
  <r>
    <x v="646"/>
    <n v="63968.38248"/>
    <n v="61942.842680000002"/>
    <n v="1622"/>
    <n v="39.437967003699136"/>
    <n v="2025.5397999999986"/>
    <n v="20.255397999999985"/>
    <n v="1.2487914919852026"/>
  </r>
  <r>
    <x v="647"/>
    <n v="59609.544710000002"/>
    <n v="57736.47666"/>
    <n v="1512"/>
    <n v="39.424302056878311"/>
    <n v="1873.0680500000017"/>
    <n v="18.730680500000016"/>
    <n v="1.2388016203703716"/>
  </r>
  <r>
    <x v="648"/>
    <n v="126588.253"/>
    <n v="122622.3631"/>
    <n v="3211"/>
    <n v="39.423311429461229"/>
    <n v="3965.8898999999947"/>
    <n v="39.658898999999948"/>
    <n v="1.2350949548427264"/>
  </r>
  <r>
    <x v="649"/>
    <n v="119755.0116"/>
    <n v="116003.6869"/>
    <n v="3037"/>
    <n v="39.432009087915702"/>
    <n v="3751.3246999999974"/>
    <n v="37.513246999999971"/>
    <n v="1.2352073427724719"/>
  </r>
  <r>
    <x v="650"/>
    <n v="57413.410479999999"/>
    <n v="55617.584640000001"/>
    <n v="1456"/>
    <n v="39.432287417582415"/>
    <n v="1795.8258399999977"/>
    <n v="17.958258399999977"/>
    <n v="1.2333968681318666"/>
  </r>
  <r>
    <x v="651"/>
    <n v="57749.136939999997"/>
    <n v="55933.008580000002"/>
    <n v="1465"/>
    <n v="39.419206102389076"/>
    <n v="1816.1283599999952"/>
    <n v="18.161283599999951"/>
    <n v="1.2396780614334437"/>
  </r>
  <r>
    <x v="652"/>
    <n v="40140.820030000003"/>
    <n v="38881.08844"/>
    <n v="1018"/>
    <n v="39.43106093320236"/>
    <n v="1259.7315900000031"/>
    <n v="12.59731590000003"/>
    <n v="1.2374573575638537"/>
  </r>
  <r>
    <x v="653"/>
    <n v="42195.817360000001"/>
    <n v="40869.249470000002"/>
    <n v="1070"/>
    <n v="39.435343327102807"/>
    <n v="1326.5678899999984"/>
    <n v="13.265678899999985"/>
    <n v="1.2397830747663536"/>
  </r>
  <r>
    <x v="654"/>
    <n v="53490.797469999998"/>
    <n v="51799.1659"/>
    <n v="1357"/>
    <n v="39.4184211274871"/>
    <n v="1691.6315699999977"/>
    <n v="16.916315699999977"/>
    <n v="1.2465965880618997"/>
  </r>
  <r>
    <x v="655"/>
    <n v="110809.3158"/>
    <n v="107331.98050000001"/>
    <n v="2810"/>
    <n v="39.43392021352313"/>
    <n v="3477.3352999999915"/>
    <n v="34.773352999999915"/>
    <n v="1.2374858718861179"/>
  </r>
  <r>
    <x v="656"/>
    <n v="111527.0135"/>
    <n v="108023.6073"/>
    <n v="2829"/>
    <n v="39.422768999646522"/>
    <n v="3503.4061999999976"/>
    <n v="35.034061999999977"/>
    <n v="1.2383903145987973"/>
  </r>
  <r>
    <x v="657"/>
    <n v="59808.13867"/>
    <n v="57937.458659999997"/>
    <n v="1517"/>
    <n v="39.425272689518785"/>
    <n v="1870.6800100000037"/>
    <n v="18.706800100000038"/>
    <n v="1.2331443704680314"/>
  </r>
  <r>
    <x v="658"/>
    <n v="55166.22623"/>
    <n v="53436.897089999999"/>
    <n v="1399"/>
    <n v="39.432613459614011"/>
    <n v="1729.3291400000016"/>
    <n v="17.293291400000015"/>
    <n v="1.2361180414581856"/>
  </r>
  <r>
    <x v="659"/>
    <n v="42054.680469999999"/>
    <n v="40736.150479999997"/>
    <n v="1067"/>
    <n v="39.413946082474226"/>
    <n v="1318.5299900000027"/>
    <n v="13.185299900000027"/>
    <n v="1.2357356982193091"/>
  </r>
  <r>
    <x v="660"/>
    <n v="53678.179109999997"/>
    <n v="51999.860869999997"/>
    <n v="1361"/>
    <n v="39.440249162380603"/>
    <n v="1678.3182400000005"/>
    <n v="16.783182400000005"/>
    <n v="1.2331508008817049"/>
  </r>
  <r>
    <x v="661"/>
    <n v="55930.168640000004"/>
    <n v="54177.690060000001"/>
    <n v="1419"/>
    <n v="39.41519988724454"/>
    <n v="1752.4785800000027"/>
    <n v="17.524785800000029"/>
    <n v="1.2350095701198045"/>
  </r>
  <r>
    <x v="662"/>
    <n v="185771.00150000001"/>
    <n v="192527.011"/>
    <n v="5042"/>
    <n v="36.844704779849266"/>
    <n v="-6756.0094999999856"/>
    <n v="-67.560094999999862"/>
    <n v="-1.3399463506544993"/>
  </r>
  <r>
    <x v="663"/>
    <n v="253116.91320000001"/>
    <n v="262409.56939999998"/>
    <n v="6872"/>
    <n v="36.833078172293369"/>
    <n v="-9292.6561999999685"/>
    <n v="-92.926561999999691"/>
    <n v="-1.3522491559953389"/>
  </r>
  <r>
    <x v="664"/>
    <n v="118618.4537"/>
    <n v="122915.26700000001"/>
    <n v="3218"/>
    <n v="36.860924083281539"/>
    <n v="-4296.8133000000089"/>
    <n v="-42.968133000000087"/>
    <n v="-1.3352434120571812"/>
  </r>
  <r>
    <x v="665"/>
    <n v="123320.784"/>
    <n v="128133.77860000001"/>
    <n v="3347"/>
    <n v="36.84517000298775"/>
    <n v="-4812.9946000000054"/>
    <n v="-48.129946000000054"/>
    <n v="-1.4380025694651943"/>
  </r>
  <r>
    <x v="666"/>
    <n v="117051.2772"/>
    <n v="122175.0003"/>
    <n v="3177"/>
    <n v="36.843335599622286"/>
    <n v="-5123.7231000000029"/>
    <n v="-51.23723100000003"/>
    <n v="-1.6127551463644958"/>
  </r>
  <r>
    <x v="667"/>
    <n v="159299.98910000001"/>
    <n v="174699.07670000001"/>
    <n v="4532"/>
    <n v="35.150041725507506"/>
    <n v="-15399.087599999999"/>
    <n v="-153.99087599999999"/>
    <n v="-3.3978569285083844"/>
  </r>
  <r>
    <x v="668"/>
    <n v="119047.4099"/>
    <n v="124349.26549999999"/>
    <n v="3231"/>
    <n v="36.845376013618072"/>
    <n v="-5301.8555999999953"/>
    <n v="-53.018555999999954"/>
    <n v="-1.6409333333333318"/>
  </r>
  <r>
    <x v="669"/>
    <n v="285081.9743"/>
    <n v="297627.69069999998"/>
    <n v="7731"/>
    <n v="36.875174531108527"/>
    <n v="-12545.716399999976"/>
    <n v="-125.45716399999975"/>
    <n v="-1.6227805458543494"/>
  </r>
  <r>
    <x v="670"/>
    <n v="391656.21260000003"/>
    <n v="429832.83480000001"/>
    <n v="11148"/>
    <n v="35.132419501255832"/>
    <n v="-38176.622199999983"/>
    <n v="-381.76622199999986"/>
    <n v="-3.4245265697883012"/>
  </r>
  <r>
    <x v="671"/>
    <n v="274814.7781"/>
    <n v="287978.17489999998"/>
    <n v="7459"/>
    <n v="36.843380895562404"/>
    <n v="-13163.396799999988"/>
    <n v="-131.63396799999987"/>
    <n v="-1.7647669660812424"/>
  </r>
  <r>
    <x v="672"/>
    <n v="269555.02309999999"/>
    <n v="281915.19209999999"/>
    <n v="7316"/>
    <n v="36.844590363586661"/>
    <n v="-12360.168999999994"/>
    <n v="-123.60168999999995"/>
    <n v="-1.6894708857299063"/>
  </r>
  <r>
    <x v="673"/>
    <n v="192001.03460000001"/>
    <n v="201125.77549999999"/>
    <n v="5211"/>
    <n v="36.845333832277873"/>
    <n v="-9124.7408999999752"/>
    <n v="-91.247408999999749"/>
    <n v="-1.7510537132987862"/>
  </r>
  <r>
    <x v="674"/>
    <n v="201367.78700000001"/>
    <n v="220579.99559999999"/>
    <n v="5731"/>
    <n v="35.136588204501834"/>
    <n v="-19212.208599999984"/>
    <n v="-192.12208599999983"/>
    <n v="-3.3523309370092451"/>
  </r>
  <r>
    <x v="675"/>
    <n v="111874.55899999999"/>
    <n v="116637.0343"/>
    <n v="3036"/>
    <n v="36.849327733860342"/>
    <n v="-4762.4753000000055"/>
    <n v="-47.624753000000055"/>
    <n v="-1.5686677536231903"/>
  </r>
  <r>
    <x v="676"/>
    <n v="214540.33309999999"/>
    <n v="223738.4327"/>
    <n v="5822"/>
    <n v="36.849936980419095"/>
    <n v="-9198.0996000000159"/>
    <n v="-91.980996000000161"/>
    <n v="-1.5798865681896284"/>
  </r>
  <r>
    <x v="677"/>
    <n v="280264.24449999997"/>
    <n v="306935.16039999999"/>
    <n v="7987"/>
    <n v="35.09005189683235"/>
    <n v="-26670.915900000022"/>
    <n v="-266.70915900000023"/>
    <n v="-3.3392908351070516"/>
  </r>
  <r>
    <x v="678"/>
    <n v="134136.72870000001"/>
    <n v="140236.3033"/>
    <n v="3640"/>
    <n v="36.850749642857146"/>
    <n v="-6099.5745999999926"/>
    <n v="-60.995745999999926"/>
    <n v="-1.6757073076923057"/>
  </r>
  <r>
    <x v="679"/>
    <n v="94243.465530000001"/>
    <n v="89949.304170000003"/>
    <n v="2338"/>
    <n v="40.309437780153978"/>
    <n v="4294.1613599999982"/>
    <n v="42.941613599999982"/>
    <n v="1.8366815055603072"/>
  </r>
  <r>
    <x v="680"/>
    <n v="131436.1979"/>
    <n v="143823.38639999999"/>
    <n v="3744"/>
    <n v="35.105822088675211"/>
    <n v="-12387.188499999989"/>
    <n v="-123.87188499999989"/>
    <n v="-3.3085439369658092"/>
  </r>
  <r>
    <x v="681"/>
    <n v="147893.94149999999"/>
    <n v="161665.60060000001"/>
    <n v="4216"/>
    <n v="35.079208135673618"/>
    <n v="-13771.659100000019"/>
    <n v="-137.71659100000019"/>
    <n v="-3.2665225569260006"/>
  </r>
  <r>
    <x v="682"/>
    <n v="140238.39050000001"/>
    <n v="153481.4534"/>
    <n v="4000"/>
    <n v="35.059597625000002"/>
    <n v="-13243.06289999999"/>
    <n v="-132.4306289999999"/>
    <n v="-3.3107657249999973"/>
  </r>
  <r>
    <x v="683"/>
    <n v="358183.77399999998"/>
    <n v="391310.32069999998"/>
    <n v="10204"/>
    <n v="35.10229067032536"/>
    <n v="-33126.546700000006"/>
    <n v="-331.26546700000006"/>
    <n v="-3.2464275480203848"/>
  </r>
  <r>
    <x v="684"/>
    <n v="377937.13870000001"/>
    <n v="413010.22899999999"/>
    <n v="10769"/>
    <n v="35.094914913176709"/>
    <n v="-35073.090299999982"/>
    <n v="-350.73090299999984"/>
    <n v="-3.2568567462159885"/>
  </r>
  <r>
    <x v="685"/>
    <n v="168729.96239999999"/>
    <n v="184673.48850000001"/>
    <n v="4803"/>
    <n v="35.130119175515304"/>
    <n v="-15943.526100000017"/>
    <n v="-159.43526100000017"/>
    <n v="-3.3194932542161184"/>
  </r>
  <r>
    <x v="686"/>
    <n v="177192.5698"/>
    <n v="193615.30369999999"/>
    <n v="5042"/>
    <n v="35.143310154700515"/>
    <n v="-16422.733899999992"/>
    <n v="-164.22733899999992"/>
    <n v="-3.2571864141213789"/>
  </r>
  <r>
    <x v="687"/>
    <n v="152368.74909999999"/>
    <n v="166625.36499999999"/>
    <n v="4342"/>
    <n v="35.091835352372179"/>
    <n v="-14256.615900000004"/>
    <n v="-142.56615900000006"/>
    <n v="-3.2834214417319219"/>
  </r>
  <r>
    <x v="688"/>
    <n v="147471.80489999999"/>
    <n v="161402.91870000001"/>
    <n v="4202"/>
    <n v="35.095622298905283"/>
    <n v="-13931.113800000021"/>
    <n v="-139.3111380000002"/>
    <n v="-3.3153531175630704"/>
  </r>
  <r>
    <x v="689"/>
    <n v="145697.152"/>
    <n v="159317.60939999999"/>
    <n v="4151"/>
    <n v="35.099289809684414"/>
    <n v="-13620.457399999985"/>
    <n v="-136.20457399999984"/>
    <n v="-3.2812472657191001"/>
  </r>
  <r>
    <x v="690"/>
    <n v="301033.9865"/>
    <n v="328965.1433"/>
    <n v="8567"/>
    <n v="35.138786798179062"/>
    <n v="-27931.156799999997"/>
    <n v="-279.31156799999997"/>
    <n v="-3.2603194583868329"/>
  </r>
  <r>
    <x v="691"/>
    <n v="309518.07209999999"/>
    <n v="338720.02360000001"/>
    <n v="8811"/>
    <n v="35.128597446373853"/>
    <n v="-29201.951500000025"/>
    <n v="-292.01951500000024"/>
    <n v="-3.314260753603453"/>
  </r>
  <r>
    <x v="692"/>
    <n v="152504.6317"/>
    <n v="167600.65090000001"/>
    <n v="4345"/>
    <n v="35.098879562715766"/>
    <n v="-15096.01920000001"/>
    <n v="-150.96019200000009"/>
    <n v="-3.4743427387802095"/>
  </r>
  <r>
    <x v="693"/>
    <n v="79711.583410000007"/>
    <n v="74375.788709999993"/>
    <n v="1937"/>
    <n v="41.152082297367066"/>
    <n v="5335.7947000000131"/>
    <n v="53.357947000000131"/>
    <n v="2.754669437274142"/>
  </r>
  <r>
    <x v="694"/>
    <n v="111021.37910000001"/>
    <n v="121456.524"/>
    <n v="3160"/>
    <n v="35.133347816455696"/>
    <n v="-10435.144899999999"/>
    <n v="-104.35144899999999"/>
    <n v="-3.3022610443037972"/>
  </r>
  <r>
    <x v="695"/>
    <n v="243161.2592"/>
    <n v="266054.36989999999"/>
    <n v="6924"/>
    <n v="35.118610514153666"/>
    <n v="-22893.11069999999"/>
    <n v="-228.93110699999991"/>
    <n v="-3.306341811091853"/>
  </r>
  <r>
    <x v="696"/>
    <n v="311443.18119999999"/>
    <n v="355343.87180000002"/>
    <n v="9273"/>
    <n v="33.586021913080984"/>
    <n v="-43900.690600000031"/>
    <n v="-439.0069060000003"/>
    <n v="-4.7342489593443364"/>
  </r>
  <r>
    <x v="697"/>
    <n v="375876.0134"/>
    <n v="431325.68670000002"/>
    <n v="11257"/>
    <n v="33.390424926712271"/>
    <n v="-55449.673300000024"/>
    <n v="-554.49673300000029"/>
    <n v="-4.9257949098338836"/>
  </r>
  <r>
    <x v="698"/>
    <n v="434639.65899999999"/>
    <n v="498895.61859999999"/>
    <n v="13019"/>
    <n v="33.385026422920347"/>
    <n v="-64255.959600000002"/>
    <n v="-642.55959600000006"/>
    <n v="-4.9355526230893307"/>
  </r>
  <r>
    <x v="699"/>
    <n v="238637.81640000001"/>
    <n v="274093.57799999998"/>
    <n v="7139"/>
    <n v="33.427345062333664"/>
    <n v="-35455.761599999969"/>
    <n v="-354.55761599999971"/>
    <n v="-4.9664885278050104"/>
  </r>
  <r>
    <x v="700"/>
    <n v="260653.66699999999"/>
    <n v="283981.1507"/>
    <n v="7423"/>
    <n v="35.114329381651622"/>
    <n v="-23327.483700000012"/>
    <n v="-233.2748370000001"/>
    <n v="-3.1425951367371696"/>
  </r>
  <r>
    <x v="701"/>
    <n v="262394.78000000003"/>
    <n v="285838.55680000002"/>
    <n v="7474"/>
    <n v="35.107677281241642"/>
    <n v="-23443.776799999992"/>
    <n v="-234.43776799999992"/>
    <n v="-3.1367108375702424"/>
  </r>
  <r>
    <x v="702"/>
    <n v="248437.7113"/>
    <n v="269807.62040000001"/>
    <n v="7056"/>
    <n v="35.209426204648523"/>
    <n v="-21369.909100000019"/>
    <n v="-213.69909100000018"/>
    <n v="-3.0286152352607738"/>
  </r>
  <r>
    <x v="703"/>
    <n v="201048.83050000001"/>
    <n v="219110.39319999999"/>
    <n v="5732"/>
    <n v="35.074813415910675"/>
    <n v="-18061.56269999998"/>
    <n v="-180.61562699999979"/>
    <n v="-3.1510053558967166"/>
  </r>
  <r>
    <x v="704"/>
    <n v="317690.76089999999"/>
    <n v="345449.52990000002"/>
    <n v="9038"/>
    <n v="35.150559957955302"/>
    <n v="-27758.769000000029"/>
    <n v="-277.58769000000029"/>
    <n v="-3.0713397875636237"/>
  </r>
  <r>
    <x v="705"/>
    <n v="378527.8726"/>
    <n v="410385.03700000001"/>
    <n v="10737"/>
    <n v="35.254528508894474"/>
    <n v="-31857.164400000009"/>
    <n v="-318.57164400000011"/>
    <n v="-2.9670452081587042"/>
  </r>
  <r>
    <x v="706"/>
    <n v="195425.39110000001"/>
    <n v="210461.38620000001"/>
    <n v="5505"/>
    <n v="35.499616911898279"/>
    <n v="-15035.9951"/>
    <n v="-150.359951"/>
    <n v="-2.7313342597638512"/>
  </r>
  <r>
    <x v="707"/>
    <n v="90441.603369999997"/>
    <n v="83999.591249999998"/>
    <n v="2198"/>
    <n v="41.147226282984533"/>
    <n v="6442.0121199999994"/>
    <n v="64.420121199999997"/>
    <n v="2.930851737943585"/>
  </r>
  <r>
    <x v="708"/>
    <n v="117649.0006"/>
    <n v="121640.3798"/>
    <n v="3190"/>
    <n v="36.880564451410656"/>
    <n v="-3991.3791999999958"/>
    <n v="-39.913791999999958"/>
    <n v="-1.2512160501567384"/>
  </r>
  <r>
    <x v="709"/>
    <n v="141285.39550000001"/>
    <n v="145443.0466"/>
    <n v="3814"/>
    <n v="37.043889748295754"/>
    <n v="-4157.6510999999882"/>
    <n v="-41.576510999999883"/>
    <n v="-1.0901025432616644"/>
  </r>
  <r>
    <x v="710"/>
    <n v="133183.6937"/>
    <n v="137725.87609999999"/>
    <n v="3610"/>
    <n v="36.892989944598341"/>
    <n v="-4542.1823999999906"/>
    <n v="-45.421823999999908"/>
    <n v="-1.2582222714681415"/>
  </r>
  <r>
    <x v="711"/>
    <n v="229672.25630000001"/>
    <n v="237672.01639999999"/>
    <n v="6227"/>
    <n v="36.883291520796533"/>
    <n v="-7999.760099999985"/>
    <n v="-79.997600999999847"/>
    <n v="-1.2846892725228818"/>
  </r>
  <r>
    <x v="712"/>
    <n v="333488.79790000001"/>
    <n v="359621.07490000001"/>
    <n v="9422"/>
    <n v="35.394693048185097"/>
    <n v="-26132.277000000002"/>
    <n v="-261.32276999999999"/>
    <n v="-2.7735382084483127"/>
  </r>
  <r>
    <x v="713"/>
    <n v="185422.88560000001"/>
    <n v="191390.4013"/>
    <n v="5014"/>
    <n v="36.981030235341045"/>
    <n v="-5967.515699999989"/>
    <n v="-59.675156999999892"/>
    <n v="-1.1901706621459891"/>
  </r>
  <r>
    <x v="714"/>
    <n v="173833.13320000001"/>
    <n v="179871.0533"/>
    <n v="4715"/>
    <n v="36.868108844114531"/>
    <n v="-6037.9200999999885"/>
    <n v="-60.379200999999881"/>
    <n v="-1.2805769034994674"/>
  </r>
  <r>
    <x v="715"/>
    <n v="220271.72140000001"/>
    <n v="237123.34330000001"/>
    <n v="6212"/>
    <n v="35.459066548615581"/>
    <n v="-16851.621899999998"/>
    <n v="-168.51621899999998"/>
    <n v="-2.7127530424983899"/>
  </r>
  <r>
    <x v="716"/>
    <n v="234468.07120000001"/>
    <n v="251493.90890000001"/>
    <n v="6585"/>
    <n v="35.606388944570995"/>
    <n v="-17025.837700000004"/>
    <n v="-170.25837700000002"/>
    <n v="-2.5855486256643894"/>
  </r>
  <r>
    <x v="717"/>
    <n v="213778.13810000001"/>
    <n v="230994.35519999999"/>
    <n v="6051"/>
    <n v="35.329389869443069"/>
    <n v="-17216.21709999998"/>
    <n v="-172.1621709999998"/>
    <n v="-2.8451854404230672"/>
  </r>
  <r>
    <x v="718"/>
    <n v="273563.0148"/>
    <n v="295854.55229999998"/>
    <n v="7750"/>
    <n v="35.298453522580644"/>
    <n v="-22291.537499999977"/>
    <n v="-222.91537499999976"/>
    <n v="-2.8763274193548356"/>
  </r>
  <r>
    <x v="719"/>
    <n v="337506.78840000002"/>
    <n v="362223.16090000002"/>
    <n v="9490"/>
    <n v="35.564466638566913"/>
    <n v="-24716.372499999998"/>
    <n v="-247.16372499999997"/>
    <n v="-2.6044649631190726"/>
  </r>
  <r>
    <x v="720"/>
    <n v="155312.78390000001"/>
    <n v="167421.9737"/>
    <n v="4382"/>
    <n v="35.443355522592427"/>
    <n v="-12109.189799999993"/>
    <n v="-121.09189799999993"/>
    <n v="-2.763393382017342"/>
  </r>
  <r>
    <x v="721"/>
    <n v="289243.38309999998"/>
    <n v="312784.9743"/>
    <n v="8196"/>
    <n v="35.290798328452901"/>
    <n v="-23541.591200000024"/>
    <n v="-235.41591200000025"/>
    <n v="-2.8723268911664257"/>
  </r>
  <r>
    <x v="722"/>
    <n v="313125.33250000002"/>
    <n v="338299.61780000001"/>
    <n v="8863"/>
    <n v="35.329497066456057"/>
    <n v="-25174.285299999989"/>
    <n v="-251.74285299999988"/>
    <n v="-2.8403797021324597"/>
  </r>
  <r>
    <x v="723"/>
    <n v="268330.39270000003"/>
    <n v="249584.21520000001"/>
    <n v="6534"/>
    <n v="41.06678798591981"/>
    <n v="18746.17750000002"/>
    <n v="187.46177500000019"/>
    <n v="2.8690201254974013"/>
  </r>
  <r>
    <x v="724"/>
    <n v="392228.13799999998"/>
    <n v="364396.19420000003"/>
    <n v="9540"/>
    <n v="41.114060587002093"/>
    <n v="27831.94379999995"/>
    <n v="278.31943799999948"/>
    <n v="2.9173945283018816"/>
  </r>
  <r>
    <x v="725"/>
    <n v="133728.98370000001"/>
    <n v="124363.5573"/>
    <n v="3256"/>
    <n v="41.071555190417691"/>
    <n v="9365.4264000000112"/>
    <n v="93.654264000000111"/>
    <n v="2.8763594594594628"/>
  </r>
  <r>
    <x v="726"/>
    <n v="82778.444050000006"/>
    <n v="76876.492700000003"/>
    <n v="2013"/>
    <n v="41.121929483358173"/>
    <n v="5901.951350000003"/>
    <n v="59.019513500000031"/>
    <n v="2.9319182066567326"/>
  </r>
  <r>
    <x v="727"/>
    <n v="69522.836970000004"/>
    <n v="64616.076650000003"/>
    <n v="1692"/>
    <n v="41.089147145390072"/>
    <n v="4906.7603200000012"/>
    <n v="49.067603200000015"/>
    <n v="2.8999765484633575"/>
  </r>
  <r>
    <x v="728"/>
    <n v="133021.27280000001"/>
    <n v="123500.78780000001"/>
    <n v="3234"/>
    <n v="41.132118985776131"/>
    <n v="9520.4850000000006"/>
    <n v="95.204850000000008"/>
    <n v="2.9438729128014844"/>
  </r>
  <r>
    <x v="729"/>
    <n v="161267.52059999999"/>
    <n v="175378.1459"/>
    <n v="4592"/>
    <n v="35.119233580139372"/>
    <n v="-14110.625300000014"/>
    <n v="-141.10625300000015"/>
    <n v="-3.0728713632404214"/>
  </r>
  <r>
    <x v="730"/>
    <n v="208583.21799999999"/>
    <n v="227060.26269999999"/>
    <n v="5945"/>
    <n v="35.085486627418"/>
    <n v="-18477.044699999999"/>
    <n v="-184.77044699999999"/>
    <n v="-3.1079974264087467"/>
  </r>
  <r>
    <x v="731"/>
    <n v="325457.52500000002"/>
    <n v="353929.73839999997"/>
    <n v="9266"/>
    <n v="35.123842542628971"/>
    <n v="-28472.21339999995"/>
    <n v="-284.72213399999947"/>
    <n v="-3.0727620764083694"/>
  </r>
  <r>
    <x v="732"/>
    <n v="111650.2398"/>
    <n v="121448.2838"/>
    <n v="3179"/>
    <n v="35.121182698961938"/>
    <n v="-9798.044000000009"/>
    <n v="-97.980440000000087"/>
    <n v="-3.0821151305441989"/>
  </r>
  <r>
    <x v="733"/>
    <n v="262421.2819"/>
    <n v="285675.84570000001"/>
    <n v="7479"/>
    <n v="35.087749953202298"/>
    <n v="-23254.563800000004"/>
    <n v="-232.54563800000003"/>
    <n v="-3.1093145875117001"/>
  </r>
  <r>
    <x v="734"/>
    <n v="164527.53890000001"/>
    <n v="179308.94949999999"/>
    <n v="4694"/>
    <n v="35.050604793353223"/>
    <n v="-14781.410599999974"/>
    <n v="-147.81410599999973"/>
    <n v="-3.1490009799744301"/>
  </r>
  <r>
    <x v="735"/>
    <n v="274990.14649999997"/>
    <n v="299576.2414"/>
    <n v="7843"/>
    <n v="35.061857261252065"/>
    <n v="-24586.094900000026"/>
    <n v="-245.86094900000026"/>
    <n v="-3.1347819584342758"/>
  </r>
  <r>
    <x v="736"/>
    <n v="215737.84280000001"/>
    <n v="234642.0857"/>
    <n v="6150"/>
    <n v="35.079324032520326"/>
    <n v="-18904.242899999983"/>
    <n v="-189.04242899999983"/>
    <n v="-3.0738606341463388"/>
  </r>
  <r>
    <x v="737"/>
    <n v="98646.982699999993"/>
    <n v="91610.559999999998"/>
    <n v="2401"/>
    <n v="41.085790379008742"/>
    <n v="7036.4226999999955"/>
    <n v="70.364226999999957"/>
    <n v="2.9306216992919598"/>
  </r>
  <r>
    <x v="738"/>
    <n v="74401.215289999993"/>
    <n v="68988.861260000005"/>
    <n v="1808"/>
    <n v="41.151114651548667"/>
    <n v="5412.3540299999877"/>
    <n v="54.123540299999874"/>
    <n v="2.9935586449114977"/>
  </r>
  <r>
    <x v="739"/>
    <n v="106592.34299999999"/>
    <n v="99021.682920000007"/>
    <n v="2594"/>
    <n v="41.091882420971473"/>
    <n v="7570.6600799999869"/>
    <n v="75.706600799999876"/>
    <n v="2.9185274016962168"/>
  </r>
  <r>
    <x v="740"/>
    <n v="134629.65820000001"/>
    <n v="124963.46550000001"/>
    <n v="3274"/>
    <n v="41.120848564447158"/>
    <n v="9666.1926999999996"/>
    <n v="96.661926999999991"/>
    <n v="2.9524107208307879"/>
  </r>
  <r>
    <x v="741"/>
    <n v="90773.653059999997"/>
    <n v="84299.288239999994"/>
    <n v="2207"/>
    <n v="41.129883579519706"/>
    <n v="6474.3648200000025"/>
    <n v="64.743648200000024"/>
    <n v="2.9335590484821035"/>
  </r>
  <r>
    <x v="742"/>
    <n v="121373.06819999999"/>
    <n v="112550.4323"/>
    <n v="2949"/>
    <n v="41.157364598168868"/>
    <n v="8822.6358999999939"/>
    <n v="88.226358999999945"/>
    <n v="2.9917381824347213"/>
  </r>
  <r>
    <x v="743"/>
    <n v="99445.557100000005"/>
    <n v="92226.518100000001"/>
    <n v="2417"/>
    <n v="41.144210633016137"/>
    <n v="7219.0390000000043"/>
    <n v="72.190390000000036"/>
    <n v="2.9867765825403412"/>
  </r>
  <r>
    <x v="744"/>
    <n v="67587.546929999997"/>
    <n v="62760.356829999997"/>
    <n v="1644"/>
    <n v="41.111646551094886"/>
    <n v="4827.1900999999998"/>
    <n v="48.271901"/>
    <n v="2.9362470194647199"/>
  </r>
  <r>
    <x v="745"/>
    <n v="61685.935239999999"/>
    <n v="57191.439319999998"/>
    <n v="1499"/>
    <n v="41.151391087391595"/>
    <n v="4494.4959200000012"/>
    <n v="44.944959200000014"/>
    <n v="2.9983294996664451"/>
  </r>
  <r>
    <x v="746"/>
    <n v="150006.92980000001"/>
    <n v="139244.8958"/>
    <n v="3648"/>
    <n v="41.120320668859655"/>
    <n v="10762.034000000014"/>
    <n v="107.62034000000014"/>
    <n v="2.9501189692982495"/>
  </r>
  <r>
    <x v="747"/>
    <n v="191287.3535"/>
    <n v="177577.28719999999"/>
    <n v="4652"/>
    <n v="41.119379514187443"/>
    <n v="13710.066300000006"/>
    <n v="137.10066300000005"/>
    <n v="2.9471337704213254"/>
  </r>
  <r>
    <x v="748"/>
    <n v="92595.46084"/>
    <n v="86018.189610000001"/>
    <n v="2252"/>
    <n v="41.116989715808174"/>
    <n v="6577.2712299999985"/>
    <n v="65.772712299999981"/>
    <n v="2.9206355373001771"/>
  </r>
  <r>
    <x v="749"/>
    <n v="96947.05429"/>
    <n v="89961.359500000006"/>
    <n v="2357"/>
    <n v="41.131546156130675"/>
    <n v="6985.6947899999941"/>
    <n v="69.856947899999938"/>
    <n v="2.963807717437418"/>
  </r>
  <r>
    <x v="750"/>
    <n v="70512.894499999995"/>
    <n v="65453.276389999999"/>
    <n v="1715"/>
    <n v="41.115390379008744"/>
    <n v="5059.6181099999958"/>
    <n v="50.59618109999996"/>
    <n v="2.9502146413994144"/>
  </r>
  <r>
    <x v="751"/>
    <n v="159590.4901"/>
    <n v="182351.13879999999"/>
    <n v="4776"/>
    <n v="33.415094242043551"/>
    <n v="-22760.648699999991"/>
    <n v="-227.6064869999999"/>
    <n v="-4.7656299623115554"/>
  </r>
  <r>
    <x v="752"/>
    <n v="67046.273419999998"/>
    <n v="61894.262560000003"/>
    <n v="1628"/>
    <n v="41.18321463144963"/>
    <n v="5152.0108599999949"/>
    <n v="51.520108599999951"/>
    <n v="3.1646258353808321"/>
  </r>
  <r>
    <x v="753"/>
    <n v="266949.23879999999"/>
    <n v="294322.92719999998"/>
    <n v="7806"/>
    <n v="34.197955265180632"/>
    <n v="-27373.688399999985"/>
    <n v="-273.73688399999986"/>
    <n v="-3.5067497309761704"/>
  </r>
  <r>
    <x v="754"/>
    <n v="315272.22480000003"/>
    <n v="346093.06699999998"/>
    <n v="9210"/>
    <n v="34.231511921824108"/>
    <n v="-30820.842199999955"/>
    <n v="-308.20842199999953"/>
    <n v="-3.3464540933767597"/>
  </r>
  <r>
    <x v="755"/>
    <n v="149138.9215"/>
    <n v="163505.71299999999"/>
    <n v="4351"/>
    <n v="34.276929786256034"/>
    <n v="-14366.791499999992"/>
    <n v="-143.66791499999991"/>
    <n v="-3.3019516203171668"/>
  </r>
  <r>
    <x v="756"/>
    <n v="215171.03820000001"/>
    <n v="234621.59890000001"/>
    <n v="6278"/>
    <n v="34.273819401083152"/>
    <n v="-19450.560700000002"/>
    <n v="-194.50560700000003"/>
    <n v="-3.0982097323988533"/>
  </r>
  <r>
    <x v="757"/>
    <n v="205197.89840000001"/>
    <n v="221931.58009999999"/>
    <n v="5992"/>
    <n v="34.245310146862487"/>
    <n v="-16733.681699999986"/>
    <n v="-167.33681699999985"/>
    <n v="-2.7926705106809058"/>
  </r>
  <r>
    <x v="758"/>
    <n v="214452.24840000001"/>
    <n v="231730.23269999999"/>
    <n v="6265"/>
    <n v="34.230207246608146"/>
    <n v="-17277.984299999982"/>
    <n v="-172.77984299999983"/>
    <n v="-2.7578586272944903"/>
  </r>
  <r>
    <x v="759"/>
    <n v="195767.9736"/>
    <n v="210639.84820000001"/>
    <n v="5723"/>
    <n v="34.207229355233267"/>
    <n v="-14871.87460000001"/>
    <n v="-148.7187460000001"/>
    <n v="-2.5986151668705242"/>
  </r>
  <r>
    <x v="760"/>
    <n v="397984.32929999998"/>
    <n v="437198.92959999997"/>
    <n v="11900"/>
    <n v="33.444061285714284"/>
    <n v="-39214.600299999991"/>
    <n v="-392.14600299999989"/>
    <n v="-3.2953445630252092"/>
  </r>
  <r>
    <x v="761"/>
    <n v="512603.10350000003"/>
    <n v="561872.20600000001"/>
    <n v="15345"/>
    <n v="33.405220169436298"/>
    <n v="-49269.102499999979"/>
    <n v="-492.6910249999998"/>
    <n v="-3.2107593678722699"/>
  </r>
  <r>
    <x v="762"/>
    <n v="218104.06690000001"/>
    <n v="238662.19209999999"/>
    <n v="6525"/>
    <n v="33.425910636015324"/>
    <n v="-20558.12519999998"/>
    <n v="-205.58125199999981"/>
    <n v="-3.1506705287356294"/>
  </r>
  <r>
    <x v="763"/>
    <n v="339004.33689999999"/>
    <n v="371177.18689999997"/>
    <n v="10153"/>
    <n v="33.389573219738011"/>
    <n v="-32172.849999999977"/>
    <n v="-321.72849999999977"/>
    <n v="-3.168802324436125"/>
  </r>
  <r>
    <x v="764"/>
    <n v="278116.36930000002"/>
    <n v="295645.62910000002"/>
    <n v="8116"/>
    <n v="34.267665019714144"/>
    <n v="-17529.2598"/>
    <n v="-175.292598"/>
    <n v="-2.1598397979300148"/>
  </r>
  <r>
    <x v="765"/>
    <n v="264159.30060000002"/>
    <n v="280392.27360000001"/>
    <n v="7712"/>
    <n v="34.253021343360999"/>
    <n v="-16232.972999999998"/>
    <n v="-162.32972999999998"/>
    <n v="-2.1048979512448129"/>
  </r>
  <r>
    <x v="766"/>
    <n v="197778.13370000001"/>
    <n v="209372.2922"/>
    <n v="5759"/>
    <n v="34.342443774960934"/>
    <n v="-11594.15849999999"/>
    <n v="-115.9415849999999"/>
    <n v="-2.0132242576836239"/>
  </r>
  <r>
    <x v="767"/>
    <n v="325749.00890000002"/>
    <n v="345287.81150000001"/>
    <n v="9501"/>
    <n v="34.285760330491527"/>
    <n v="-19538.802599999995"/>
    <n v="-195.38802599999997"/>
    <n v="-2.0564995895168923"/>
  </r>
  <r>
    <x v="768"/>
    <n v="371561.97639999999"/>
    <n v="393884.43300000002"/>
    <n v="10840"/>
    <n v="34.276935092250923"/>
    <n v="-22322.456600000034"/>
    <n v="-223.22456600000035"/>
    <n v="-2.0592672140221433"/>
  </r>
  <r>
    <x v="769"/>
    <n v="174581.67679999999"/>
    <n v="185040.8173"/>
    <n v="5089"/>
    <n v="34.305694006681072"/>
    <n v="-10459.140500000009"/>
    <n v="-104.59140500000008"/>
    <n v="-2.0552447435645527"/>
  </r>
  <r>
    <x v="770"/>
    <n v="208489.3694"/>
    <n v="221372.83689999999"/>
    <n v="6087"/>
    <n v="34.251580318712008"/>
    <n v="-12883.467499999999"/>
    <n v="-128.83467499999998"/>
    <n v="-2.1165545424675538"/>
  </r>
  <r>
    <x v="771"/>
    <n v="84495.166670000006"/>
    <n v="74682.266820000004"/>
    <n v="2053"/>
    <n v="41.156924827082321"/>
    <n v="9812.8998500000016"/>
    <n v="98.128998500000023"/>
    <n v="4.7797856064296163"/>
  </r>
  <r>
    <x v="772"/>
    <n v="76661.250029999996"/>
    <n v="66379.563599999994"/>
    <n v="1825"/>
    <n v="42.006164399999996"/>
    <n v="10281.686430000002"/>
    <n v="102.81686430000002"/>
    <n v="5.6338007835616448"/>
  </r>
  <r>
    <x v="773"/>
    <n v="64034.940459999998"/>
    <n v="55491.338530000001"/>
    <n v="1525"/>
    <n v="41.990124891803276"/>
    <n v="8543.6019299999971"/>
    <n v="85.43601929999997"/>
    <n v="5.6023619213114735"/>
  </r>
  <r>
    <x v="774"/>
    <n v="148839.9749"/>
    <n v="129583.4921"/>
    <n v="3542"/>
    <n v="42.021449717673633"/>
    <n v="19256.482799999998"/>
    <n v="192.56482799999998"/>
    <n v="5.4366128740824387"/>
  </r>
  <r>
    <x v="775"/>
    <n v="172541.5079"/>
    <n v="150538.98370000001"/>
    <n v="4105"/>
    <n v="42.032036029232643"/>
    <n v="22002.524199999985"/>
    <n v="220.02524199999985"/>
    <n v="5.3599328136418967"/>
  </r>
  <r>
    <x v="776"/>
    <n v="87991.663"/>
    <n v="76378.504639999999"/>
    <n v="2094"/>
    <n v="42.020851480420248"/>
    <n v="11613.158360000001"/>
    <n v="116.13158360000001"/>
    <n v="5.5459208978032484"/>
  </r>
  <r>
    <x v="777"/>
    <n v="123445.38159999999"/>
    <n v="108669.2254"/>
    <n v="2940"/>
    <n v="41.988225034013603"/>
    <n v="14776.156199999998"/>
    <n v="147.76156199999997"/>
    <n v="5.025903469387754"/>
  </r>
  <r>
    <x v="778"/>
    <n v="77344.691869999995"/>
    <n v="68269.24884"/>
    <n v="1841"/>
    <n v="42.012325839217816"/>
    <n v="9075.4430299999949"/>
    <n v="90.754430299999953"/>
    <n v="4.929626849538292"/>
  </r>
  <r>
    <x v="779"/>
    <n v="158963.02489999999"/>
    <n v="167521.52590000001"/>
    <n v="4529"/>
    <n v="35.098923581364538"/>
    <n v="-8558.5010000000184"/>
    <n v="-85.585010000000182"/>
    <n v="-1.8897109737248881"/>
  </r>
  <r>
    <x v="780"/>
    <n v="69598.071150000003"/>
    <n v="61492.968309999997"/>
    <n v="1658"/>
    <n v="41.977123733413755"/>
    <n v="8105.1028400000068"/>
    <n v="81.051028400000064"/>
    <n v="4.8884818094089306"/>
  </r>
  <r>
    <x v="781"/>
    <n v="161275.60219999999"/>
    <n v="143446.35829999999"/>
    <n v="3841"/>
    <n v="41.987920385316322"/>
    <n v="17829.243900000001"/>
    <n v="178.292439"/>
    <n v="4.6418234574329604"/>
  </r>
  <r>
    <x v="782"/>
    <n v="325215.07679999998"/>
    <n v="345446.00180000003"/>
    <n v="9260"/>
    <n v="35.120418660907127"/>
    <n v="-20230.925000000047"/>
    <n v="-202.30925000000047"/>
    <n v="-2.1847651187905019"/>
  </r>
  <r>
    <x v="783"/>
    <n v="96957.295840000006"/>
    <n v="86455.494380000004"/>
    <n v="2308"/>
    <n v="42.009226967071058"/>
    <n v="10501.801460000002"/>
    <n v="105.01801460000003"/>
    <n v="4.5501739428076267"/>
  </r>
  <r>
    <x v="784"/>
    <n v="85224.47709"/>
    <n v="75960.71802"/>
    <n v="2028"/>
    <n v="42.023903890532544"/>
    <n v="9263.7590700000001"/>
    <n v="92.637590700000004"/>
    <n v="4.5679285355029586"/>
  </r>
  <r>
    <x v="785"/>
    <n v="54612.878839999998"/>
    <n v="49071.802539999997"/>
    <n v="1301"/>
    <n v="41.977616325903149"/>
    <n v="5541.0763000000006"/>
    <n v="55.410763000000003"/>
    <n v="4.2590901614142975"/>
  </r>
  <r>
    <x v="786"/>
    <n v="81530.612380000006"/>
    <n v="81738.05644"/>
    <n v="2213"/>
    <n v="36.841668495255313"/>
    <n v="-207.44405999999435"/>
    <n v="-2.0744405999999436"/>
    <n v="-9.3738843199274446E-2"/>
  </r>
  <r>
    <x v="787"/>
    <n v="160947.53260000001"/>
    <n v="162597.49679999999"/>
    <n v="4404"/>
    <n v="36.545761262488647"/>
    <n v="-1649.9641999999876"/>
    <n v="-16.499641999999877"/>
    <n v="-0.37465127157129602"/>
  </r>
  <r>
    <x v="788"/>
    <n v="188736.24739999999"/>
    <n v="183103.23370000001"/>
    <n v="4935"/>
    <n v="38.244427031408307"/>
    <n v="5633.0136999999813"/>
    <n v="56.330136999999816"/>
    <n v="1.1414414792299861"/>
  </r>
  <r>
    <x v="789"/>
    <n v="215951.5079"/>
    <n v="210032.78810000001"/>
    <n v="5609"/>
    <n v="38.500892832947052"/>
    <n v="5918.7197999999917"/>
    <n v="59.187197999999917"/>
    <n v="1.0552183633446233"/>
  </r>
  <r>
    <x v="790"/>
    <n v="134995.85449999999"/>
    <n v="129938.7058"/>
    <n v="3452"/>
    <n v="39.106562717265348"/>
    <n v="5057.1486999999906"/>
    <n v="50.571486999999905"/>
    <n v="1.4649909327925812"/>
  </r>
  <r>
    <x v="791"/>
    <n v="163079.378"/>
    <n v="160332.5894"/>
    <n v="4270"/>
    <n v="38.191891803278686"/>
    <n v="2746.7885999999999"/>
    <n v="27.467886"/>
    <n v="0.643276018735363"/>
  </r>
  <r>
    <x v="792"/>
    <n v="180828.6741"/>
    <n v="182962.337"/>
    <n v="4719"/>
    <n v="38.319278258105534"/>
    <n v="-2133.6628999999957"/>
    <n v="-21.336628999999956"/>
    <n v="-0.45214301758847125"/>
  </r>
  <r>
    <x v="793"/>
    <n v="171196.1752"/>
    <n v="174428.68090000001"/>
    <n v="4451"/>
    <n v="38.462407369130531"/>
    <n v="-3232.5057000000088"/>
    <n v="-32.325057000000086"/>
    <n v="-0.72624257470231601"/>
  </r>
  <r>
    <x v="794"/>
    <n v="129719.0505"/>
    <n v="131961.9325"/>
    <n v="3364"/>
    <n v="38.560954369797862"/>
    <n v="-2242.8819999999978"/>
    <n v="-22.428819999999977"/>
    <n v="-0.66673067776456529"/>
  </r>
  <r>
    <x v="795"/>
    <n v="142127.6421"/>
    <n v="144039.4137"/>
    <n v="3665"/>
    <n v="38.779711350613915"/>
    <n v="-1911.7716000000073"/>
    <n v="-19.117716000000073"/>
    <n v="-0.52162935879945627"/>
  </r>
  <r>
    <x v="796"/>
    <n v="152124.40789999999"/>
    <n v="153377.51199999999"/>
    <n v="3889"/>
    <n v="39.116587271792234"/>
    <n v="-1253.1040999999968"/>
    <n v="-12.531040999999968"/>
    <n v="-0.32221756235536048"/>
  </r>
  <r>
    <x v="797"/>
    <n v="74132.787020000003"/>
    <n v="74332.279479999997"/>
    <n v="1882"/>
    <n v="39.390428809776836"/>
    <n v="-199.49245999999403"/>
    <n v="-1.9949245999999403"/>
    <n v="-0.10600024442082573"/>
  </r>
  <r>
    <x v="798"/>
    <n v="91143.028609999994"/>
    <n v="95167.528730000005"/>
    <n v="2405"/>
    <n v="37.897309193347191"/>
    <n v="-4024.5001200000115"/>
    <n v="-40.245001200000118"/>
    <n v="-1.673388823284828"/>
  </r>
  <r>
    <x v="799"/>
    <n v="60528.093359999999"/>
    <n v="62342.881170000001"/>
    <n v="1577"/>
    <n v="38.381796677235258"/>
    <n v="-1814.7878100000016"/>
    <n v="-18.147878100000018"/>
    <n v="-1.1507849143944209"/>
  </r>
  <r>
    <x v="800"/>
    <n v="38340.599609999997"/>
    <n v="35918.335149999999"/>
    <n v="913"/>
    <n v="41.99408500547645"/>
    <n v="2422.2644599999985"/>
    <n v="24.222644599999985"/>
    <n v="2.6530826506024079"/>
  </r>
  <r>
    <x v="801"/>
    <n v="37453.006179999997"/>
    <n v="35108.200109999998"/>
    <n v="892"/>
    <n v="41.987675089686093"/>
    <n v="2344.8060699999987"/>
    <n v="23.448060699999989"/>
    <n v="2.6287063565022408"/>
  </r>
  <r>
    <x v="802"/>
    <n v="77997.045010000002"/>
    <n v="73051.675539999997"/>
    <n v="1855"/>
    <n v="42.046924533692724"/>
    <n v="4945.3694700000051"/>
    <n v="49.45369470000005"/>
    <n v="2.6659673692722401"/>
  </r>
  <r>
    <x v="803"/>
    <n v="79752.282680000004"/>
    <n v="74962.816399999996"/>
    <n v="1897"/>
    <n v="42.041266568265684"/>
    <n v="4789.4662800000078"/>
    <n v="47.894662800000077"/>
    <n v="2.5247581866104416"/>
  </r>
  <r>
    <x v="804"/>
    <n v="37155.588479999999"/>
    <n v="34962.830499999996"/>
    <n v="883"/>
    <n v="42.078809150622874"/>
    <n v="2192.7579800000021"/>
    <n v="21.927579800000021"/>
    <n v="2.4833046206115541"/>
  </r>
  <r>
    <x v="805"/>
    <n v="45046.513209999997"/>
    <n v="42368.04535"/>
    <n v="1071"/>
    <n v="42.060236423902893"/>
    <n v="2678.467859999997"/>
    <n v="26.784678599999971"/>
    <n v="2.5009036974789889"/>
  </r>
  <r>
    <x v="806"/>
    <n v="55489.332759999998"/>
    <n v="52263.056989999997"/>
    <n v="1320"/>
    <n v="42.0373733030303"/>
    <n v="3226.2757700000002"/>
    <n v="32.262757700000002"/>
    <n v="2.4441483106060606"/>
  </r>
  <r>
    <x v="807"/>
    <n v="41893.303160000003"/>
    <n v="39495.455900000001"/>
    <n v="997"/>
    <n v="42.019361243731197"/>
    <n v="2397.8472600000023"/>
    <n v="23.978472600000021"/>
    <n v="2.4050624473420283"/>
  </r>
  <r>
    <x v="808"/>
    <n v="34348.50419"/>
    <n v="32292.837599999999"/>
    <n v="817"/>
    <n v="42.042232790697675"/>
    <n v="2055.6665900000007"/>
    <n v="20.556665900000006"/>
    <n v="2.5161157772337832"/>
  </r>
  <r>
    <x v="809"/>
    <n v="78276.831219999993"/>
    <n v="73746.758709999995"/>
    <n v="1866"/>
    <n v="41.948998510182207"/>
    <n v="4530.0725099999981"/>
    <n v="45.30072509999998"/>
    <n v="2.4276915916398702"/>
  </r>
  <r>
    <x v="810"/>
    <n v="92851.402660000007"/>
    <n v="87451.566179999994"/>
    <n v="2211"/>
    <n v="41.995206992311175"/>
    <n v="5399.8364800000127"/>
    <n v="53.998364800000125"/>
    <n v="2.4422598281320727"/>
  </r>
  <r>
    <x v="811"/>
    <n v="54845.789299999997"/>
    <n v="51625.511720000002"/>
    <n v="1304"/>
    <n v="42.059654371165642"/>
    <n v="3220.2775799999945"/>
    <n v="32.202775799999948"/>
    <n v="2.4695380214723883"/>
  </r>
  <r>
    <x v="812"/>
    <n v="48037.799899999998"/>
    <n v="45187.641580000003"/>
    <n v="1143"/>
    <n v="42.027821434820645"/>
    <n v="2850.158319999995"/>
    <n v="28.501583199999949"/>
    <n v="2.4935768328958838"/>
  </r>
  <r>
    <x v="813"/>
    <n v="65905.723259999999"/>
    <n v="62023.881300000001"/>
    <n v="1573"/>
    <n v="41.898107603305782"/>
    <n v="3881.8419599999979"/>
    <n v="38.818419599999977"/>
    <n v="2.46779527018436"/>
  </r>
  <r>
    <x v="814"/>
    <n v="84870.051300000006"/>
    <n v="81472.827179999993"/>
    <n v="2065"/>
    <n v="41.0992984503632"/>
    <n v="3397.2241200000135"/>
    <n v="33.972241200000134"/>
    <n v="1.6451448523002488"/>
  </r>
  <r>
    <x v="815"/>
    <n v="262459.50569999998"/>
    <n v="259298.4566"/>
    <n v="6588"/>
    <n v="39.839026366120216"/>
    <n v="3161.0490999999747"/>
    <n v="31.610490999999747"/>
    <n v="0.47981923193685105"/>
  </r>
  <r>
    <x v="816"/>
    <n v="228124.39799999999"/>
    <n v="222208.3504"/>
    <n v="5652"/>
    <n v="40.361712314225052"/>
    <n v="5916.0475999999908"/>
    <n v="59.16047599999991"/>
    <n v="1.0467175513092695"/>
  </r>
  <r>
    <x v="817"/>
    <n v="162929.4921"/>
    <n v="161434.81510000001"/>
    <n v="4103"/>
    <n v="39.709844528393859"/>
    <n v="1494.676999999996"/>
    <n v="14.94676999999996"/>
    <n v="0.36428881306361105"/>
  </r>
  <r>
    <x v="818"/>
    <n v="58359.832179999998"/>
    <n v="57681.569880000003"/>
    <n v="1466"/>
    <n v="39.80888961800818"/>
    <n v="678.26229999999487"/>
    <n v="6.7826229999999486"/>
    <n v="0.46266186903137441"/>
  </r>
  <r>
    <x v="819"/>
    <n v="85605.331919999997"/>
    <n v="85022.380919999996"/>
    <n v="2162"/>
    <n v="39.5954356706753"/>
    <n v="582.95100000000093"/>
    <n v="5.8295100000000097"/>
    <n v="0.26963506012951016"/>
  </r>
  <r>
    <x v="820"/>
    <n v="84836.414340000003"/>
    <n v="84595.217929999999"/>
    <n v="2155"/>
    <n v="39.367245633410676"/>
    <n v="241.19641000000411"/>
    <n v="2.4119641000000409"/>
    <n v="0.11192408816705526"/>
  </r>
  <r>
    <x v="821"/>
    <n v="64308.914219999999"/>
    <n v="68427.594670000006"/>
    <n v="1746"/>
    <n v="36.832138728522338"/>
    <n v="-4118.6804500000071"/>
    <n v="-41.186804500000072"/>
    <n v="-2.3589235108820201"/>
  </r>
  <r>
    <x v="822"/>
    <n v="131168.48550000001"/>
    <n v="138589.10010000001"/>
    <n v="3554"/>
    <n v="36.907283483398992"/>
    <n v="-7420.6146000000008"/>
    <n v="-74.206146000000004"/>
    <n v="-2.0879613393359597"/>
  </r>
  <r>
    <x v="823"/>
    <n v="232410.198"/>
    <n v="245358.63"/>
    <n v="6282"/>
    <n v="36.996211079274119"/>
    <n v="-12948.432000000001"/>
    <n v="-129.48432"/>
    <n v="-2.0611957975167146"/>
  </r>
  <r>
    <x v="824"/>
    <n v="195831.0975"/>
    <n v="205442.82810000001"/>
    <n v="5259"/>
    <n v="37.237326012549914"/>
    <n v="-9611.7306000000099"/>
    <n v="-96.117306000000099"/>
    <n v="-1.8276726754135786"/>
  </r>
  <r>
    <x v="825"/>
    <n v="90716.547890000002"/>
    <n v="95543.133650000003"/>
    <n v="2446"/>
    <n v="37.087713773507765"/>
    <n v="-4826.5857600000018"/>
    <n v="-48.265857600000018"/>
    <n v="-1.9732566475878994"/>
  </r>
  <r>
    <x v="826"/>
    <n v="131638.0196"/>
    <n v="130700.18889999999"/>
    <n v="3345"/>
    <n v="39.35366804185351"/>
    <n v="937.83070000000589"/>
    <n v="9.3783070000000581"/>
    <n v="0.2803679222720496"/>
  </r>
  <r>
    <x v="827"/>
    <n v="81910.872619999995"/>
    <n v="79969.510550000006"/>
    <n v="2048"/>
    <n v="39.995543271484372"/>
    <n v="1941.3620699999883"/>
    <n v="19.413620699999882"/>
    <n v="0.94793069824218179"/>
  </r>
  <r>
    <x v="828"/>
    <n v="54821.908510000001"/>
    <n v="50800.00851"/>
    <n v="1303"/>
    <n v="42.073605917114349"/>
    <n v="4021.9000000000015"/>
    <n v="40.219000000000015"/>
    <n v="3.0866462010744447"/>
  </r>
  <r>
    <x v="829"/>
    <n v="155615.41940000001"/>
    <n v="171592.12590000001"/>
    <n v="4413"/>
    <n v="35.262954769997734"/>
    <n v="-15976.7065"/>
    <n v="-159.767065"/>
    <n v="-3.6203731021980512"/>
  </r>
  <r>
    <x v="830"/>
    <n v="264086.89380000002"/>
    <n v="291378.57980000001"/>
    <n v="7494"/>
    <n v="35.239777662129704"/>
    <n v="-27291.685999999987"/>
    <n v="-272.91685999999987"/>
    <n v="-3.6418049105951411"/>
  </r>
  <r>
    <x v="831"/>
    <n v="272761.29749999999"/>
    <n v="298164.41609999997"/>
    <n v="7738"/>
    <n v="35.249586133367792"/>
    <n v="-25403.118599999987"/>
    <n v="-254.03118599999988"/>
    <n v="-3.2829049625226139"/>
  </r>
  <r>
    <x v="832"/>
    <n v="104689.4279"/>
    <n v="113609.3043"/>
    <n v="2958"/>
    <n v="35.391963455037185"/>
    <n v="-8919.8764000000083"/>
    <n v="-89.198764000000082"/>
    <n v="-3.015509263015554"/>
  </r>
  <r>
    <x v="833"/>
    <n v="131170.5969"/>
    <n v="142022.8126"/>
    <n v="3713"/>
    <n v="35.327389415566927"/>
    <n v="-10852.215700000001"/>
    <n v="-108.52215700000001"/>
    <n v="-2.9227621061136548"/>
  </r>
  <r>
    <x v="834"/>
    <n v="123179.48940000001"/>
    <n v="132714.9602"/>
    <n v="3504"/>
    <n v="35.153963869863013"/>
    <n v="-9535.4707999999955"/>
    <n v="-95.35470799999996"/>
    <n v="-2.7213101598173504"/>
  </r>
  <r>
    <x v="835"/>
    <n v="124431.04640000001"/>
    <n v="132889.0569"/>
    <n v="3534"/>
    <n v="35.209690548953027"/>
    <n v="-8458.0104999999894"/>
    <n v="-84.58010499999989"/>
    <n v="-2.3933249858517232"/>
  </r>
  <r>
    <x v="836"/>
    <n v="162166.83600000001"/>
    <n v="172225.65270000001"/>
    <n v="4601"/>
    <n v="35.245997826559446"/>
    <n v="-10058.816699999996"/>
    <n v="-100.58816699999996"/>
    <n v="-2.1862240165181475"/>
  </r>
  <r>
    <x v="837"/>
    <n v="354042.0232"/>
    <n v="373200.30599999998"/>
    <n v="10045"/>
    <n v="35.245597132901942"/>
    <n v="-19158.282799999986"/>
    <n v="-191.58282799999986"/>
    <n v="-1.9072456744649064"/>
  </r>
  <r>
    <x v="838"/>
    <n v="327352.26140000002"/>
    <n v="345338.62809999997"/>
    <n v="9301"/>
    <n v="35.195383442640576"/>
    <n v="-17986.366699999955"/>
    <n v="-179.86366699999954"/>
    <n v="-1.93380998817331"/>
  </r>
  <r>
    <x v="839"/>
    <n v="164809.30300000001"/>
    <n v="175167.42879999999"/>
    <n v="4678"/>
    <n v="35.230718896964518"/>
    <n v="-10358.12579999998"/>
    <n v="-103.58125799999979"/>
    <n v="-2.2142209918768661"/>
  </r>
  <r>
    <x v="840"/>
    <n v="151157.79430000001"/>
    <n v="159828.76500000001"/>
    <n v="4294"/>
    <n v="35.202094620400558"/>
    <n v="-8670.9707000000053"/>
    <n v="-86.709707000000051"/>
    <n v="-2.0193224732184456"/>
  </r>
  <r>
    <x v="841"/>
    <n v="126895.9365"/>
    <n v="133726.2806"/>
    <n v="3606"/>
    <n v="35.19022088186356"/>
    <n v="-6830.3441000000021"/>
    <n v="-68.303441000000021"/>
    <n v="-1.8941608707709379"/>
  </r>
  <r>
    <x v="842"/>
    <n v="166395.44579999999"/>
    <n v="179020.54250000001"/>
    <n v="4838"/>
    <n v="34.393436502687059"/>
    <n v="-12625.096700000024"/>
    <n v="-126.25096700000023"/>
    <n v="-2.6095693881769377"/>
  </r>
  <r>
    <x v="843"/>
    <n v="167796.3548"/>
    <n v="182485.09890000001"/>
    <n v="4914"/>
    <n v="34.146592348392346"/>
    <n v="-14688.744100000011"/>
    <n v="-146.88744100000011"/>
    <n v="-2.9891624135124157"/>
  </r>
  <r>
    <x v="844"/>
    <n v="351146.01699999999"/>
    <n v="380098.15639999998"/>
    <n v="10269"/>
    <n v="34.194762586425163"/>
    <n v="-28952.139399999985"/>
    <n v="-289.52139399999987"/>
    <n v="-2.8193728113740368"/>
  </r>
  <r>
    <x v="845"/>
    <n v="420738.82179999998"/>
    <n v="455415.3493"/>
    <n v="12317"/>
    <n v="34.159196378988391"/>
    <n v="-34676.527500000026"/>
    <n v="-346.76527500000026"/>
    <n v="-2.8153387594381769"/>
  </r>
  <r>
    <x v="846"/>
    <n v="186166.1508"/>
    <n v="202391.17869999999"/>
    <n v="5453"/>
    <n v="34.140134017971761"/>
    <n v="-16225.027899999986"/>
    <n v="-162.25027899999986"/>
    <n v="-2.9754314872547196"/>
  </r>
  <r>
    <x v="847"/>
    <n v="251449.52960000001"/>
    <n v="273255.09850000002"/>
    <n v="7372"/>
    <n v="34.108726207270756"/>
    <n v="-21805.568900000013"/>
    <n v="-218.05568900000014"/>
    <n v="-2.9578905181768871"/>
  </r>
  <r>
    <x v="848"/>
    <n v="280321.81069999997"/>
    <n v="302469.83199999999"/>
    <n v="8211"/>
    <n v="34.139789392278644"/>
    <n v="-22148.021300000022"/>
    <n v="-221.48021300000022"/>
    <n v="-2.6973597978321791"/>
  </r>
  <r>
    <x v="849"/>
    <n v="313434.93329999998"/>
    <n v="337931.11700000003"/>
    <n v="9182"/>
    <n v="34.135801927684597"/>
    <n v="-24496.183700000052"/>
    <n v="-244.96183700000051"/>
    <n v="-2.6678483663689887"/>
  </r>
  <r>
    <x v="850"/>
    <n v="257324.60310000001"/>
    <n v="276852.17989999999"/>
    <n v="7520"/>
    <n v="34.21869722074468"/>
    <n v="-19527.576799999981"/>
    <n v="-195.2757679999998"/>
    <n v="-2.5967522340425506"/>
  </r>
  <r>
    <x v="851"/>
    <n v="455554.33600000001"/>
    <n v="489215.0675"/>
    <n v="13321"/>
    <n v="34.198208542902186"/>
    <n v="-33660.731499999994"/>
    <n v="-336.60731499999997"/>
    <n v="-2.526892237819983"/>
  </r>
  <r>
    <x v="852"/>
    <n v="556865.20330000005"/>
    <n v="598925.6679"/>
    <n v="16276"/>
    <n v="34.213885678299341"/>
    <n v="-42060.464599999948"/>
    <n v="-420.60464599999949"/>
    <n v="-2.584201560579992"/>
  </r>
  <r>
    <x v="853"/>
    <n v="354856.04489999998"/>
    <n v="380511.15919999999"/>
    <n v="10388"/>
    <n v="34.160189150943395"/>
    <n v="-25655.114300000016"/>
    <n v="-256.55114300000014"/>
    <n v="-2.4696875529457083"/>
  </r>
  <r>
    <x v="854"/>
    <n v="283284.58130000002"/>
    <n v="304997.8518"/>
    <n v="8298"/>
    <n v="34.138898686430466"/>
    <n v="-21713.270499999984"/>
    <n v="-217.13270499999985"/>
    <n v="-2.6166872137864527"/>
  </r>
  <r>
    <x v="855"/>
    <n v="297500.674"/>
    <n v="319786.35950000002"/>
    <n v="8717"/>
    <n v="34.128791327291502"/>
    <n v="-22285.685500000021"/>
    <n v="-222.85685500000022"/>
    <n v="-2.5565774348973296"/>
  </r>
  <r>
    <x v="856"/>
    <n v="285968.4878"/>
    <n v="305506.99819999997"/>
    <n v="8364"/>
    <n v="34.190397871831657"/>
    <n v="-19538.51039999997"/>
    <n v="-195.3851039999997"/>
    <n v="-2.3360246771879449"/>
  </r>
  <r>
    <x v="857"/>
    <n v="237946.63269999999"/>
    <n v="254527.4155"/>
    <n v="6968"/>
    <n v="34.148483452927671"/>
    <n v="-16580.782800000015"/>
    <n v="-165.80782800000014"/>
    <n v="-2.3795612514351343"/>
  </r>
  <r>
    <x v="858"/>
    <n v="340851.50589999999"/>
    <n v="364361.03289999999"/>
    <n v="9973"/>
    <n v="34.177429650055146"/>
    <n v="-23509.527000000002"/>
    <n v="-235.09527000000003"/>
    <n v="-2.3573174571342626"/>
  </r>
  <r>
    <x v="859"/>
    <n v="388187.60139999999"/>
    <n v="414644.62349999999"/>
    <n v="11363"/>
    <n v="34.162422018833055"/>
    <n v="-26457.022100000002"/>
    <n v="-264.570221"/>
    <n v="-2.3283483323066094"/>
  </r>
  <r>
    <x v="860"/>
    <n v="139178.9841"/>
    <n v="148731.09049999999"/>
    <n v="4074"/>
    <n v="34.162735419734908"/>
    <n v="-9552.1063999999897"/>
    <n v="-95.521063999999896"/>
    <n v="-2.3446505645557165"/>
  </r>
  <r>
    <x v="861"/>
    <n v="66400.303050000002"/>
    <n v="57741.73891"/>
    <n v="1579"/>
    <n v="42.052123527549085"/>
    <n v="8658.5641400000022"/>
    <n v="86.585641400000029"/>
    <n v="5.4835745028499066"/>
  </r>
  <r>
    <x v="862"/>
    <n v="42723.524460000001"/>
    <n v="37112.985059999999"/>
    <n v="1016"/>
    <n v="42.050713051181106"/>
    <n v="5610.5394000000015"/>
    <n v="56.105394000000018"/>
    <n v="5.5221844488188987"/>
  </r>
  <r>
    <x v="863"/>
    <n v="35014.39948"/>
    <n v="30393.740119999999"/>
    <n v="832"/>
    <n v="42.084614759615384"/>
    <n v="4620.6593600000015"/>
    <n v="46.206593600000012"/>
    <n v="5.5536771153846169"/>
  </r>
  <r>
    <x v="864"/>
    <n v="27210.406630000001"/>
    <n v="23570.159159999999"/>
    <n v="647"/>
    <n v="42.056269907264301"/>
    <n v="3640.2474700000021"/>
    <n v="36.40247470000002"/>
    <n v="5.6263484853168499"/>
  </r>
  <r>
    <x v="865"/>
    <n v="79840.088250000001"/>
    <n v="69078.714139999996"/>
    <n v="1898"/>
    <n v="42.065378424657531"/>
    <n v="10761.374110000004"/>
    <n v="107.61374110000004"/>
    <n v="5.6698493730242383"/>
  </r>
  <r>
    <x v="866"/>
    <n v="82484.44829"/>
    <n v="71426.011639999997"/>
    <n v="1961"/>
    <n v="42.062441759306473"/>
    <n v="11058.436650000003"/>
    <n v="110.58436650000003"/>
    <n v="5.6391823814380437"/>
  </r>
  <r>
    <x v="867"/>
    <n v="51497.23734"/>
    <n v="44611.939680000003"/>
    <n v="1224"/>
    <n v="42.072906323529409"/>
    <n v="6885.2976599999965"/>
    <n v="68.852976599999963"/>
    <n v="5.6252431862745071"/>
  </r>
  <r>
    <x v="868"/>
    <n v="42871.832869999998"/>
    <n v="37139.308259999998"/>
    <n v="1019"/>
    <n v="42.072456202158975"/>
    <n v="5732.5246100000004"/>
    <n v="57.325246100000001"/>
    <n v="5.6256374975466148"/>
  </r>
  <r>
    <x v="869"/>
    <n v="39104.6391"/>
    <n v="33890.360430000001"/>
    <n v="930"/>
    <n v="42.047999032258062"/>
    <n v="5214.2786699999997"/>
    <n v="52.142786699999995"/>
    <n v="5.6067512580645156"/>
  </r>
  <r>
    <x v="870"/>
    <n v="34406.750010000003"/>
    <n v="29884.330590000001"/>
    <n v="818"/>
    <n v="42.062041577017119"/>
    <n v="4522.419420000002"/>
    <n v="45.224194200000021"/>
    <n v="5.5286300977995131"/>
  </r>
  <r>
    <x v="871"/>
    <n v="39403.658560000003"/>
    <n v="34229.63192"/>
    <n v="937"/>
    <n v="42.052997395944509"/>
    <n v="5174.0266400000037"/>
    <n v="51.740266400000039"/>
    <n v="5.5219067662753512"/>
  </r>
  <r>
    <x v="872"/>
    <n v="96830.902419999999"/>
    <n v="83926.003500000006"/>
    <n v="2302"/>
    <n v="42.063815125977413"/>
    <n v="12904.898919999992"/>
    <n v="129.04898919999994"/>
    <n v="5.6059508774978246"/>
  </r>
  <r>
    <x v="873"/>
    <n v="99380.3946"/>
    <n v="86179.513389999993"/>
    <n v="2363"/>
    <n v="42.056874566229368"/>
    <n v="13200.881210000007"/>
    <n v="132.00881210000006"/>
    <n v="5.58649225983919"/>
  </r>
  <r>
    <x v="874"/>
    <n v="61656.181329999999"/>
    <n v="53463.734559999997"/>
    <n v="1466"/>
    <n v="42.057422462482947"/>
    <n v="8192.4467700000023"/>
    <n v="81.924467700000022"/>
    <n v="5.5882992974079144"/>
  </r>
  <r>
    <x v="875"/>
    <n v="69163.557369999995"/>
    <n v="59948.438710000002"/>
    <n v="1644"/>
    <n v="42.070290371046227"/>
    <n v="9215.1186599999928"/>
    <n v="92.151186599999932"/>
    <n v="5.6053033211678791"/>
  </r>
  <r>
    <x v="876"/>
    <n v="113112.86500000001"/>
    <n v="117414.6989"/>
    <n v="3224"/>
    <n v="35.084635545905712"/>
    <n v="-4301.8338999999978"/>
    <n v="-43.018338999999976"/>
    <n v="-1.3343157258064509"/>
  </r>
  <r>
    <x v="877"/>
    <n v="253686.30249999999"/>
    <n v="268974.57069999998"/>
    <n v="7392"/>
    <n v="34.319034429112556"/>
    <n v="-15288.268199999991"/>
    <n v="-152.8826819999999"/>
    <n v="-2.0682181006493496"/>
  </r>
  <r>
    <x v="878"/>
    <n v="210305.29190000001"/>
    <n v="223289.0846"/>
    <n v="6138"/>
    <n v="34.262836738351254"/>
    <n v="-12983.792699999991"/>
    <n v="-129.83792699999992"/>
    <n v="-2.1153132453567922"/>
  </r>
  <r>
    <x v="879"/>
    <n v="364087.42430000001"/>
    <n v="386499.89640000003"/>
    <n v="10624"/>
    <n v="34.270277136671687"/>
    <n v="-22412.472100000014"/>
    <n v="-224.12472100000014"/>
    <n v="-2.1096076901355434"/>
  </r>
  <r>
    <x v="880"/>
    <n v="397480.36949999997"/>
    <n v="421674.10190000001"/>
    <n v="11590"/>
    <n v="34.29511384814495"/>
    <n v="-24193.732400000037"/>
    <n v="-241.93732400000036"/>
    <n v="-2.0874661259706677"/>
  </r>
  <r>
    <x v="881"/>
    <n v="204028.17679999999"/>
    <n v="216777.31570000001"/>
    <n v="5959"/>
    <n v="34.238660312132907"/>
    <n v="-12749.13890000002"/>
    <n v="-127.4913890000002"/>
    <n v="-2.1394762376237657"/>
  </r>
  <r>
    <x v="882"/>
    <n v="172797.9351"/>
    <n v="183715.80720000001"/>
    <n v="5048"/>
    <n v="34.230969710776549"/>
    <n v="-10917.872100000008"/>
    <n v="-109.17872100000008"/>
    <n v="-2.1628114302694152"/>
  </r>
  <r>
    <x v="883"/>
    <n v="258970.65410000001"/>
    <n v="274386.01539999997"/>
    <n v="7542"/>
    <n v="34.337132604083799"/>
    <n v="-15415.36129999996"/>
    <n v="-154.15361299999961"/>
    <n v="-2.0439354680456061"/>
  </r>
  <r>
    <x v="884"/>
    <n v="368789.57260000001"/>
    <n v="391923.65960000001"/>
    <n v="10761"/>
    <n v="34.27093881609516"/>
    <n v="-23134.087"/>
    <n v="-231.34087"/>
    <n v="-2.1498082891924541"/>
  </r>
  <r>
    <x v="885"/>
    <n v="278071.38660000003"/>
    <n v="295548.24160000001"/>
    <n v="8120"/>
    <n v="34.245244655172414"/>
    <n v="-17476.854999999981"/>
    <n v="-174.76854999999981"/>
    <n v="-2.1523220443349729"/>
  </r>
  <r>
    <x v="886"/>
    <n v="373959.36200000002"/>
    <n v="396324.17869999999"/>
    <n v="10896"/>
    <n v="34.32079313509545"/>
    <n v="-22364.816699999967"/>
    <n v="-223.64816699999966"/>
    <n v="-2.0525712830396445"/>
  </r>
  <r>
    <x v="887"/>
    <n v="402057.25290000002"/>
    <n v="426466.13219999999"/>
    <n v="11726"/>
    <n v="34.28767294047416"/>
    <n v="-24408.879299999971"/>
    <n v="-244.08879299999973"/>
    <n v="-2.0816032150776027"/>
  </r>
  <r>
    <x v="888"/>
    <n v="205719.45319999999"/>
    <n v="218408.18210000001"/>
    <n v="6007"/>
    <n v="34.246621142000997"/>
    <n v="-12688.728900000016"/>
    <n v="-126.88728900000017"/>
    <n v="-2.1123237722656927"/>
  </r>
  <r>
    <x v="889"/>
    <n v="177626.95009999999"/>
    <n v="188629.7542"/>
    <n v="5185"/>
    <n v="34.257849585342328"/>
    <n v="-11002.804100000008"/>
    <n v="-110.02804100000009"/>
    <n v="-2.1220451494696255"/>
  </r>
  <r>
    <x v="890"/>
    <n v="70441.90741"/>
    <n v="60910.748399999997"/>
    <n v="1675"/>
    <n v="42.054870095522389"/>
    <n v="9531.159010000003"/>
    <n v="95.311590100000032"/>
    <n v="5.6902441850746284"/>
  </r>
  <r>
    <x v="891"/>
    <n v="162923.84959999999"/>
    <n v="173292.68109999999"/>
    <n v="4765"/>
    <n v="34.191783756558237"/>
    <n v="-10368.8315"/>
    <n v="-103.688315"/>
    <n v="-2.1760401888772298"/>
  </r>
  <r>
    <x v="892"/>
    <n v="138752.5276"/>
    <n v="143791.47810000001"/>
    <n v="3953"/>
    <n v="35.100563521376174"/>
    <n v="-5038.9505000000063"/>
    <n v="-50.389505000000064"/>
    <n v="-1.2747155325069583"/>
  </r>
  <r>
    <x v="893"/>
    <n v="252458.2622"/>
    <n v="261502.3818"/>
    <n v="7190"/>
    <n v="35.112414770514604"/>
    <n v="-9044.1196000000054"/>
    <n v="-90.441196000000048"/>
    <n v="-1.2578747705146043"/>
  </r>
  <r>
    <x v="894"/>
    <n v="293917.85249999998"/>
    <n v="311853.52049999998"/>
    <n v="8577"/>
    <n v="34.268141832808674"/>
    <n v="-17935.668000000005"/>
    <n v="-179.35668000000004"/>
    <n v="-2.0911353620146911"/>
  </r>
  <r>
    <x v="895"/>
    <n v="138350.12179999999"/>
    <n v="143346.6746"/>
    <n v="3943"/>
    <n v="35.087527720010144"/>
    <n v="-4996.5528000000049"/>
    <n v="-49.965528000000049"/>
    <n v="-1.2671957392848097"/>
  </r>
  <r>
    <x v="896"/>
    <n v="130067.27559999999"/>
    <n v="134950.56649999999"/>
    <n v="3707"/>
    <n v="35.086937038036147"/>
    <n v="-4883.2908999999927"/>
    <n v="-48.83290899999993"/>
    <n v="-1.3173161316428359"/>
  </r>
  <r>
    <x v="897"/>
    <n v="107168.6611"/>
    <n v="111173.15850000001"/>
    <n v="3054"/>
    <n v="35.091244629993447"/>
    <n v="-4004.4974000000075"/>
    <n v="-40.044974000000074"/>
    <n v="-1.3112303208906377"/>
  </r>
  <r>
    <x v="898"/>
    <n v="224030.55439999999"/>
    <n v="237934.73420000001"/>
    <n v="6541"/>
    <n v="34.250199419049075"/>
    <n v="-13904.179800000013"/>
    <n v="-139.04179800000011"/>
    <n v="-2.1256963461244478"/>
  </r>
  <r>
    <x v="899"/>
    <n v="201918.22210000001"/>
    <n v="209095.56969999999"/>
    <n v="5749"/>
    <n v="35.122320768829361"/>
    <n v="-7177.3475999999791"/>
    <n v="-71.773475999999789"/>
    <n v="-1.2484514872151642"/>
  </r>
  <r>
    <x v="900"/>
    <n v="329344.2683"/>
    <n v="341253.3296"/>
    <n v="9385"/>
    <n v="35.0926231539691"/>
    <n v="-11909.061300000001"/>
    <n v="-119.09061300000002"/>
    <n v="-1.2689463292488015"/>
  </r>
  <r>
    <x v="901"/>
    <n v="308642.97720000002"/>
    <n v="327672.04149999999"/>
    <n v="9012"/>
    <n v="34.248000133155792"/>
    <n v="-19029.064299999969"/>
    <n v="-190.2906429999997"/>
    <n v="-2.1115251109631568"/>
  </r>
  <r>
    <x v="902"/>
    <n v="134472.40659999999"/>
    <n v="139385.8762"/>
    <n v="3831"/>
    <n v="35.101124145131813"/>
    <n v="-4913.4696000000113"/>
    <n v="-49.134696000000112"/>
    <n v="-1.2825553641346936"/>
  </r>
  <r>
    <x v="903"/>
    <n v="143809.7206"/>
    <n v="148953.91089999999"/>
    <n v="4097"/>
    <n v="35.10122543324384"/>
    <n v="-5144.1902999999875"/>
    <n v="-51.441902999999876"/>
    <n v="-1.2555992921649957"/>
  </r>
  <r>
    <x v="904"/>
    <n v="123252.1511"/>
    <n v="127533.00930000001"/>
    <n v="3509"/>
    <n v="35.124579965802226"/>
    <n v="-4280.8582000000024"/>
    <n v="-42.808582000000023"/>
    <n v="-1.219965289256199"/>
  </r>
  <r>
    <x v="905"/>
    <n v="40067.151210000004"/>
    <n v="34559.084519999997"/>
    <n v="953"/>
    <n v="42.043180703043028"/>
    <n v="5508.0666900000069"/>
    <n v="55.080666900000068"/>
    <n v="5.7797132109129139"/>
  </r>
  <r>
    <x v="906"/>
    <n v="143752.73680000001"/>
    <n v="155659.5337"/>
    <n v="4305"/>
    <n v="33.392041068524975"/>
    <n v="-11906.796899999987"/>
    <n v="-119.06796899999986"/>
    <n v="-2.7658064808362339"/>
  </r>
  <r>
    <x v="907"/>
    <n v="389904.0086"/>
    <n v="422372.58159999998"/>
    <n v="11667"/>
    <n v="33.419388754607013"/>
    <n v="-32468.572999999975"/>
    <n v="-324.68572999999975"/>
    <n v="-2.7829410302562763"/>
  </r>
  <r>
    <x v="908"/>
    <n v="461280.7856"/>
    <n v="498910.32900000003"/>
    <n v="13793"/>
    <n v="33.443107779308342"/>
    <n v="-37629.543400000024"/>
    <n v="-376.29543400000023"/>
    <n v="-2.7281623577176846"/>
  </r>
  <r>
    <x v="909"/>
    <n v="221578.69680000001"/>
    <n v="240449.62229999999"/>
    <n v="6641"/>
    <n v="33.36526077397982"/>
    <n v="-18870.925499999983"/>
    <n v="-188.70925499999984"/>
    <n v="-2.8415789037795487"/>
  </r>
  <r>
    <x v="910"/>
    <n v="253702.223"/>
    <n v="274426.08029999997"/>
    <n v="7593"/>
    <n v="33.412646253127882"/>
    <n v="-20723.857299999974"/>
    <n v="-207.23857299999975"/>
    <n v="-2.7293371921506617"/>
  </r>
  <r>
    <x v="911"/>
    <n v="200616.07620000001"/>
    <n v="217104.5797"/>
    <n v="6007"/>
    <n v="33.397049475611787"/>
    <n v="-16488.503499999992"/>
    <n v="-164.8850349999999"/>
    <n v="-2.7448815548526704"/>
  </r>
  <r>
    <x v="912"/>
    <n v="211700.8132"/>
    <n v="229023.8107"/>
    <n v="6345"/>
    <n v="33.364982379826635"/>
    <n v="-17322.997499999998"/>
    <n v="-173.22997499999997"/>
    <n v="-2.7301808510638295"/>
  </r>
  <r>
    <x v="913"/>
    <n v="282757.71139999997"/>
    <n v="305894.1801"/>
    <n v="8482"/>
    <n v="33.336207427493513"/>
    <n v="-23136.468700000027"/>
    <n v="-231.36468700000026"/>
    <n v="-2.7277138292855492"/>
  </r>
  <r>
    <x v="914"/>
    <n v="479010.15669999999"/>
    <n v="517742.19260000001"/>
    <n v="14344"/>
    <n v="33.39446156581149"/>
    <n v="-38732.035900000017"/>
    <n v="-387.32035900000017"/>
    <n v="-2.7002255925822656"/>
  </r>
  <r>
    <x v="915"/>
    <n v="454543.28580000001"/>
    <n v="490487.0246"/>
    <n v="13609"/>
    <n v="33.400197354691748"/>
    <n v="-35943.738799999992"/>
    <n v="-359.43738799999994"/>
    <n v="-2.6411741347637587"/>
  </r>
  <r>
    <x v="916"/>
    <n v="242185.1807"/>
    <n v="261534.91200000001"/>
    <n v="7259"/>
    <n v="33.363435831381736"/>
    <n v="-19349.731300000014"/>
    <n v="-193.49731300000013"/>
    <n v="-2.6656194103871078"/>
  </r>
  <r>
    <x v="917"/>
    <n v="281531.68560000003"/>
    <n v="304052.47700000001"/>
    <n v="8431"/>
    <n v="33.392442841893015"/>
    <n v="-22520.791399999987"/>
    <n v="-225.20791399999987"/>
    <n v="-2.6711886371723388"/>
  </r>
  <r>
    <x v="918"/>
    <n v="219363.22010000001"/>
    <n v="237026.3505"/>
    <n v="6577"/>
    <n v="33.353081967462373"/>
    <n v="-17663.130399999995"/>
    <n v="-176.63130399999994"/>
    <n v="-2.6855907556636756"/>
  </r>
  <r>
    <x v="919"/>
    <n v="204005.5822"/>
    <n v="219722.89499999999"/>
    <n v="6098"/>
    <n v="33.454506756313549"/>
    <n v="-15717.312799999985"/>
    <n v="-157.17312799999985"/>
    <n v="-2.5774537225319754"/>
  </r>
  <r>
    <x v="920"/>
    <n v="69579.068459999995"/>
    <n v="59598.917800000003"/>
    <n v="1654"/>
    <n v="42.067151426844013"/>
    <n v="9980.1506599999921"/>
    <n v="99.801506599999925"/>
    <n v="6.0339484038694025"/>
  </r>
  <r>
    <x v="921"/>
    <n v="87184.740030000001"/>
    <n v="74654.520420000001"/>
    <n v="2073"/>
    <n v="42.057279319826335"/>
    <n v="12530.21961"/>
    <n v="125.3021961"/>
    <n v="6.0444860636758317"/>
  </r>
  <r>
    <x v="922"/>
    <n v="78700.436050000004"/>
    <n v="67367.383239999996"/>
    <n v="1871"/>
    <n v="42.063300935328705"/>
    <n v="11333.052810000008"/>
    <n v="113.33052810000008"/>
    <n v="6.0572168947087164"/>
  </r>
  <r>
    <x v="923"/>
    <n v="39809.559090000002"/>
    <n v="34091.569660000001"/>
    <n v="946"/>
    <n v="42.081986353065538"/>
    <n v="5717.9894300000014"/>
    <n v="57.179894300000015"/>
    <n v="6.0443862896405935"/>
  </r>
  <r>
    <x v="924"/>
    <n v="45839.238770000004"/>
    <n v="39231.195370000001"/>
    <n v="1090"/>
    <n v="42.054347495412848"/>
    <n v="6608.0434000000023"/>
    <n v="66.080434000000025"/>
    <n v="6.0624251376146807"/>
  </r>
  <r>
    <x v="925"/>
    <n v="36851.763749999998"/>
    <n v="31574.32547"/>
    <n v="876"/>
    <n v="42.068223458904107"/>
    <n v="5277.4382799999985"/>
    <n v="52.774382799999984"/>
    <n v="6.0244729223744278"/>
  </r>
  <r>
    <x v="926"/>
    <n v="33225.670469999997"/>
    <n v="28489.081399999999"/>
    <n v="790"/>
    <n v="42.057810721518983"/>
    <n v="4736.5890699999982"/>
    <n v="47.36589069999998"/>
    <n v="5.9956823670886052"/>
  </r>
  <r>
    <x v="927"/>
    <n v="30423.391459999999"/>
    <n v="26053.796719999998"/>
    <n v="723"/>
    <n v="42.079379612724757"/>
    <n v="4369.5947400000005"/>
    <n v="43.695947400000001"/>
    <n v="6.0436995020746895"/>
  </r>
  <r>
    <x v="928"/>
    <n v="80345.637659999993"/>
    <n v="68788.094540000006"/>
    <n v="1910"/>
    <n v="42.065778879581146"/>
    <n v="11557.543119999988"/>
    <n v="115.57543119999987"/>
    <n v="6.0510696963350723"/>
  </r>
  <r>
    <x v="929"/>
    <n v="95297.338629999998"/>
    <n v="81655.857730000003"/>
    <n v="2266"/>
    <n v="42.055312722859661"/>
    <n v="13641.480899999995"/>
    <n v="136.41480899999996"/>
    <n v="6.0200710061782852"/>
  </r>
  <r>
    <x v="930"/>
    <n v="45324.054530000001"/>
    <n v="38809.808900000004"/>
    <n v="1078"/>
    <n v="42.044577486085345"/>
    <n v="6514.2456299999976"/>
    <n v="65.142456299999978"/>
    <n v="6.0428994712430404"/>
  </r>
  <r>
    <x v="931"/>
    <n v="51604.118410000003"/>
    <n v="44222.784480000002"/>
    <n v="1227"/>
    <n v="42.057146218418907"/>
    <n v="7381.3339300000007"/>
    <n v="73.81333930000001"/>
    <n v="6.0157570741646298"/>
  </r>
  <r>
    <x v="932"/>
    <n v="37870.119030000002"/>
    <n v="32436.795969999999"/>
    <n v="900"/>
    <n v="42.077910033333332"/>
    <n v="5433.3230600000024"/>
    <n v="54.333230600000022"/>
    <n v="6.0370256222222247"/>
  </r>
  <r>
    <x v="933"/>
    <n v="42723.524460000001"/>
    <n v="36607.390659999997"/>
    <n v="1016"/>
    <n v="42.050713051181106"/>
    <n v="6116.1338000000032"/>
    <n v="61.161338000000029"/>
    <n v="6.0198167322834681"/>
  </r>
  <r>
    <x v="934"/>
    <n v="35169.915809999999"/>
    <n v="30133.318640000001"/>
    <n v="836"/>
    <n v="42.069277284688994"/>
    <n v="5036.5971699999973"/>
    <n v="50.365971699999974"/>
    <n v="6.0246377631578918"/>
  </r>
  <r>
    <x v="935"/>
    <n v="61148.205009999998"/>
    <n v="52384.447480000003"/>
    <n v="1454"/>
    <n v="42.055161629986245"/>
    <n v="8763.7575299999953"/>
    <n v="87.637575299999952"/>
    <n v="6.027343555708387"/>
  </r>
  <r>
    <x v="936"/>
    <n v="77171.701799999995"/>
    <n v="66113.832039999994"/>
    <n v="1835"/>
    <n v="42.055423324250675"/>
    <n v="11057.869760000001"/>
    <n v="110.57869760000001"/>
    <n v="6.0260870626703005"/>
  </r>
  <r>
    <x v="937"/>
    <n v="40881.354910000002"/>
    <n v="35019.112639999999"/>
    <n v="972"/>
    <n v="42.059007109053503"/>
    <n v="5862.2422700000025"/>
    <n v="58.622422700000023"/>
    <n v="6.0311134465020597"/>
  </r>
  <r>
    <x v="938"/>
    <n v="43085.595009999997"/>
    <n v="36887.366170000001"/>
    <n v="1024"/>
    <n v="42.075776376953122"/>
    <n v="6198.2288399999961"/>
    <n v="61.982288399999959"/>
    <n v="6.0529578515624962"/>
  </r>
  <r>
    <x v="939"/>
    <n v="43894.993430000002"/>
    <n v="37604.65842"/>
    <n v="1044"/>
    <n v="42.045012863984674"/>
    <n v="6290.3350100000025"/>
    <n v="62.903350100000026"/>
    <n v="6.0252251053639867"/>
  </r>
  <r>
    <x v="940"/>
    <n v="67780.728889999999"/>
    <n v="58196.145989999997"/>
    <n v="1611"/>
    <n v="42.073698876474239"/>
    <n v="9584.5829000000012"/>
    <n v="95.845829000000009"/>
    <n v="5.9494617628801993"/>
  </r>
  <r>
    <x v="941"/>
    <n v="51907.943149999999"/>
    <n v="44544.630740000001"/>
    <n v="1234"/>
    <n v="42.064783752025932"/>
    <n v="7363.3124099999986"/>
    <n v="73.633124099999989"/>
    <n v="5.9670278849270657"/>
  </r>
  <r>
    <x v="942"/>
    <n v="93508.633889999997"/>
    <n v="80346.694130000003"/>
    <n v="2223"/>
    <n v="42.064162793522264"/>
    <n v="13161.939759999994"/>
    <n v="131.61939759999993"/>
    <n v="5.9208006117858725"/>
  </r>
  <r>
    <x v="943"/>
    <n v="95343.595509999999"/>
    <n v="81874.288860000001"/>
    <n v="2267"/>
    <n v="42.05716608292898"/>
    <n v="13469.306649999999"/>
    <n v="134.69306649999999"/>
    <n v="5.9414674239082483"/>
  </r>
  <r>
    <x v="944"/>
    <n v="59514.992330000001"/>
    <n v="51145.403339999997"/>
    <n v="1415"/>
    <n v="42.06006525088339"/>
    <n v="8369.5889900000038"/>
    <n v="83.69588990000004"/>
    <n v="5.9149038798586604"/>
  </r>
  <r>
    <x v="945"/>
    <n v="65133.966200000003"/>
    <n v="55946.056559999997"/>
    <n v="1548"/>
    <n v="42.076205555555561"/>
    <n v="9187.9096400000053"/>
    <n v="91.879096400000051"/>
    <n v="5.9353421447028456"/>
  </r>
  <r>
    <x v="946"/>
    <n v="70641.253719999993"/>
    <n v="60629.553"/>
    <n v="1679"/>
    <n v="42.073409005360332"/>
    <n v="10011.700719999993"/>
    <n v="100.11700719999993"/>
    <n v="5.9628950089338852"/>
  </r>
  <r>
    <x v="947"/>
    <n v="48442.171479999997"/>
    <n v="41610.783940000001"/>
    <n v="1152"/>
    <n v="42.050496076388889"/>
    <n v="6831.3875399999961"/>
    <n v="68.313875399999958"/>
    <n v="5.9300239062499962"/>
  </r>
  <r>
    <x v="948"/>
    <n v="46291.371919999998"/>
    <n v="39783.360670000002"/>
    <n v="1101"/>
    <n v="42.044842797456859"/>
    <n v="6508.0112499999959"/>
    <n v="65.080112499999956"/>
    <n v="5.9110002270662996"/>
  </r>
  <r>
    <x v="949"/>
    <n v="73453.143290000007"/>
    <n v="63386.492590000002"/>
    <n v="1746"/>
    <n v="42.069383327605962"/>
    <n v="10066.650700000006"/>
    <n v="100.66650700000005"/>
    <n v="5.7655502290950773"/>
  </r>
  <r>
    <x v="950"/>
    <n v="71508.897949999999"/>
    <n v="61500.574650000002"/>
    <n v="1700"/>
    <n v="42.064057617647059"/>
    <n v="10008.323299999996"/>
    <n v="100.08323299999996"/>
    <n v="5.887248999999998"/>
  </r>
  <r>
    <x v="951"/>
    <n v="30066.126179999999"/>
    <n v="25872.48835"/>
    <n v="715"/>
    <n v="42.050526125874121"/>
    <n v="4193.6378299999997"/>
    <n v="41.936378299999994"/>
    <n v="5.8652277342657335"/>
  </r>
  <r>
    <x v="952"/>
    <n v="37726.615899999997"/>
    <n v="32490.136020000002"/>
    <n v="897"/>
    <n v="42.05865763656633"/>
    <n v="5236.4798799999953"/>
    <n v="52.364798799999953"/>
    <n v="5.8377702118171628"/>
  </r>
  <r>
    <x v="953"/>
    <n v="30831.694630000002"/>
    <n v="26577.079450000001"/>
    <n v="733"/>
    <n v="42.062339195088676"/>
    <n v="4254.6151800000007"/>
    <n v="42.546151800000004"/>
    <n v="5.8043863301500691"/>
  </r>
  <r>
    <x v="954"/>
    <n v="146811.45509999999"/>
    <n v="155135.62909999999"/>
    <n v="4282"/>
    <n v="34.285720481083601"/>
    <n v="-8324.1739999999991"/>
    <n v="-83.241739999999993"/>
    <n v="-1.943992059785147"/>
  </r>
  <r>
    <x v="955"/>
    <n v="99867.329620000004"/>
    <n v="103826.70140000001"/>
    <n v="2867"/>
    <n v="34.833390170910363"/>
    <n v="-3959.3717800000013"/>
    <n v="-39.593717800000015"/>
    <n v="-1.381015619114057"/>
  </r>
  <r>
    <x v="956"/>
    <n v="210664.8628"/>
    <n v="220379.27669999999"/>
    <n v="6082"/>
    <n v="34.637432226241366"/>
    <n v="-9714.413899999985"/>
    <n v="-97.144138999999853"/>
    <n v="-1.5972400361723094"/>
  </r>
  <r>
    <x v="957"/>
    <n v="266271.03909999999"/>
    <n v="281658.41830000002"/>
    <n v="7771"/>
    <n v="34.26470712906962"/>
    <n v="-15387.379200000025"/>
    <n v="-153.87379200000024"/>
    <n v="-1.9801028439068362"/>
  </r>
  <r>
    <x v="958"/>
    <n v="123084.03909999999"/>
    <n v="129601.5272"/>
    <n v="3576"/>
    <n v="34.419474021252796"/>
    <n v="-6517.4881000000023"/>
    <n v="-65.174881000000028"/>
    <n v="-1.8225637863534683"/>
  </r>
  <r>
    <x v="959"/>
    <n v="162727.52480000001"/>
    <n v="168580.17060000001"/>
    <n v="4649"/>
    <n v="35.002694084749415"/>
    <n v="-5852.6457999999984"/>
    <n v="-58.526457999999984"/>
    <n v="-1.2589042374704233"/>
  </r>
  <r>
    <x v="960"/>
    <n v="114708.946"/>
    <n v="119758.06170000001"/>
    <n v="3302"/>
    <n v="34.739232586311324"/>
    <n v="-5049.1157000000094"/>
    <n v="-50.491157000000094"/>
    <n v="-1.5291083282858902"/>
  </r>
  <r>
    <x v="961"/>
    <n v="122318.9075"/>
    <n v="128298.3435"/>
    <n v="3536"/>
    <n v="34.592451216063345"/>
    <n v="-5979.4360000000015"/>
    <n v="-59.794360000000012"/>
    <n v="-1.6910169683257923"/>
  </r>
  <r>
    <x v="962"/>
    <n v="112010.34450000001"/>
    <n v="117374.19160000001"/>
    <n v="3236"/>
    <n v="34.613827101359703"/>
    <n v="-5363.847099999999"/>
    <n v="-53.638470999999988"/>
    <n v="-1.6575547280593321"/>
  </r>
  <r>
    <x v="963"/>
    <n v="229861.47029999999"/>
    <n v="241090.1336"/>
    <n v="6646"/>
    <n v="34.586438504363528"/>
    <n v="-11228.663300000015"/>
    <n v="-112.28663300000015"/>
    <n v="-1.6895370598856476"/>
  </r>
  <r>
    <x v="964"/>
    <n v="249981.24969999999"/>
    <n v="262145.17729999998"/>
    <n v="7220"/>
    <n v="34.623441786703602"/>
    <n v="-12163.927599999995"/>
    <n v="-121.63927599999995"/>
    <n v="-1.6847545152354564"/>
  </r>
  <r>
    <x v="965"/>
    <n v="136480.24909999999"/>
    <n v="143734.22719999999"/>
    <n v="3958"/>
    <n v="34.482124583122783"/>
    <n v="-7253.9781000000075"/>
    <n v="-72.539781000000076"/>
    <n v="-1.8327382769075309"/>
  </r>
  <r>
    <x v="966"/>
    <n v="127369.8026"/>
    <n v="133350.16140000001"/>
    <n v="3672"/>
    <n v="34.686765413943355"/>
    <n v="-5980.3588000000163"/>
    <n v="-59.803588000000161"/>
    <n v="-1.6286380174291983"/>
  </r>
  <r>
    <x v="967"/>
    <n v="43537.728159999999"/>
    <n v="37649.38753"/>
    <n v="1035"/>
    <n v="42.065437835748789"/>
    <n v="5888.3406299999988"/>
    <n v="58.88340629999999"/>
    <n v="5.6892179999999986"/>
  </r>
  <r>
    <x v="968"/>
    <n v="120407.4133"/>
    <n v="127699.41590000001"/>
    <n v="3549"/>
    <n v="33.927138151591997"/>
    <n v="-7292.0026000000071"/>
    <n v="-72.920026000000064"/>
    <n v="-2.0546640180332507"/>
  </r>
  <r>
    <x v="969"/>
    <n v="226375.54310000001"/>
    <n v="240429.68549999999"/>
    <n v="6647"/>
    <n v="34.056799022115243"/>
    <n v="-14054.142399999982"/>
    <n v="-140.54142399999984"/>
    <n v="-2.1143587182187424"/>
  </r>
  <r>
    <x v="970"/>
    <n v="337900.17820000002"/>
    <n v="358772.25040000002"/>
    <n v="9908"/>
    <n v="34.103772527250712"/>
    <n v="-20872.072199999995"/>
    <n v="-208.72072199999994"/>
    <n v="-2.106587828017763"/>
  </r>
  <r>
    <x v="971"/>
    <n v="355069.54009999998"/>
    <n v="376755.56449999998"/>
    <n v="10393"/>
    <n v="34.164297132685462"/>
    <n v="-21686.024399999995"/>
    <n v="-216.86024399999994"/>
    <n v="-2.0865990955450777"/>
  </r>
  <r>
    <x v="972"/>
    <n v="153893.68520000001"/>
    <n v="163401.32920000001"/>
    <n v="4507"/>
    <n v="34.145481517639233"/>
    <n v="-9507.6440000000002"/>
    <n v="-95.076440000000005"/>
    <n v="-2.1095282893277125"/>
  </r>
  <r>
    <x v="973"/>
    <n v="159625.7409"/>
    <n v="169479.1061"/>
    <n v="4672"/>
    <n v="34.166468514554794"/>
    <n v="-9853.3652000000002"/>
    <n v="-98.533652000000004"/>
    <n v="-2.1090250856164383"/>
  </r>
  <r>
    <x v="974"/>
    <n v="133961.967"/>
    <n v="142299.9178"/>
    <n v="3924"/>
    <n v="34.139135321100916"/>
    <n v="-8337.9507999999914"/>
    <n v="-83.379507999999916"/>
    <n v="-2.1248600407747174"/>
  </r>
  <r>
    <x v="975"/>
    <n v="236305.15640000001"/>
    <n v="250572.4534"/>
    <n v="6918"/>
    <n v="34.158016247470371"/>
    <n v="-14267.296999999991"/>
    <n v="-142.67296999999991"/>
    <n v="-2.06234417461694"/>
  </r>
  <r>
    <x v="976"/>
    <n v="313491.73509999999"/>
    <n v="333030.87569999998"/>
    <n v="9183"/>
    <n v="34.138270184035719"/>
    <n v="-19539.140599999984"/>
    <n v="-195.39140599999985"/>
    <n v="-2.1277513448764003"/>
  </r>
  <r>
    <x v="977"/>
    <n v="370355.00170000002"/>
    <n v="392493.08270000003"/>
    <n v="10830"/>
    <n v="34.197137737765466"/>
    <n v="-22138.081000000006"/>
    <n v="-221.38081000000005"/>
    <n v="-2.0441441366574336"/>
  </r>
  <r>
    <x v="978"/>
    <n v="369091.05540000001"/>
    <n v="391842.50140000001"/>
    <n v="10800"/>
    <n v="34.175097722222226"/>
    <n v="-22751.445999999996"/>
    <n v="-227.51445999999996"/>
    <n v="-2.1066153703703701"/>
  </r>
  <r>
    <x v="979"/>
    <n v="209026.0197"/>
    <n v="222163.72889999999"/>
    <n v="6119"/>
    <n v="34.160160107860762"/>
    <n v="-13137.709199999983"/>
    <n v="-131.37709199999983"/>
    <n v="-2.1470353325706788"/>
  </r>
  <r>
    <x v="980"/>
    <n v="228177.3168"/>
    <n v="242589.58720000001"/>
    <n v="6685"/>
    <n v="34.132732505609575"/>
    <n v="-14412.270400000009"/>
    <n v="-144.12270400000008"/>
    <n v="-2.1559118025430082"/>
  </r>
  <r>
    <x v="981"/>
    <n v="154494.78200000001"/>
    <n v="164108.82639999999"/>
    <n v="4519"/>
    <n v="34.187825182562513"/>
    <n v="-9614.0443999999843"/>
    <n v="-96.140443999999846"/>
    <n v="-2.1274716530205762"/>
  </r>
  <r>
    <x v="982"/>
    <n v="50736.474170000001"/>
    <n v="43830.19685"/>
    <n v="1206"/>
    <n v="42.070044917081262"/>
    <n v="6906.2773200000011"/>
    <n v="69.062773200000009"/>
    <n v="5.7265981094527376"/>
  </r>
  <r>
    <x v="983"/>
    <n v="43292.149239999999"/>
    <n v="37391.680890000003"/>
    <n v="1029"/>
    <n v="42.07205951409135"/>
    <n v="5900.4683499999956"/>
    <n v="59.004683499999956"/>
    <n v="5.7341772108843498"/>
  </r>
  <r>
    <x v="984"/>
    <n v="77335.918600000005"/>
    <n v="69612.126699999993"/>
    <n v="1917"/>
    <n v="40.342158894105374"/>
    <n v="7723.7919000000111"/>
    <n v="77.237919000000105"/>
    <n v="4.0291037558685501"/>
  </r>
  <r>
    <x v="985"/>
    <n v="85070.234890000007"/>
    <n v="76591.852920000005"/>
    <n v="2108"/>
    <n v="40.355898904174573"/>
    <n v="8478.3819700000022"/>
    <n v="84.783819700000024"/>
    <n v="4.0220028320683126"/>
  </r>
  <r>
    <x v="986"/>
    <n v="48831.666109999998"/>
    <n v="44014.232020000003"/>
    <n v="1211"/>
    <n v="40.323423707679602"/>
    <n v="4817.4340899999952"/>
    <n v="48.174340899999955"/>
    <n v="3.9780628323699383"/>
  </r>
  <r>
    <x v="987"/>
    <n v="52075.157180000002"/>
    <n v="46884.142509999998"/>
    <n v="1291"/>
    <n v="40.33706985282727"/>
    <n v="5191.0146700000041"/>
    <n v="51.910146700000041"/>
    <n v="4.0209253834237053"/>
  </r>
  <r>
    <x v="988"/>
    <n v="30424.726259999999"/>
    <n v="27398.58813"/>
    <n v="755"/>
    <n v="40.297650675496691"/>
    <n v="3026.1381299999994"/>
    <n v="30.261381299999993"/>
    <n v="4.0081299735099325"/>
  </r>
  <r>
    <x v="989"/>
    <n v="20495.11303"/>
    <n v="18375.052609999999"/>
    <n v="508"/>
    <n v="40.344710688976377"/>
    <n v="2120.0604200000016"/>
    <n v="21.200604200000015"/>
    <n v="4.1733472834645697"/>
  </r>
  <r>
    <x v="990"/>
    <n v="40742.171679999999"/>
    <n v="36464.759810000003"/>
    <n v="1010"/>
    <n v="40.33878384158416"/>
    <n v="4277.4118699999963"/>
    <n v="42.77411869999996"/>
    <n v="4.2350612574257385"/>
  </r>
  <r>
    <x v="991"/>
    <n v="69864.836989999996"/>
    <n v="62545.19068"/>
    <n v="1733"/>
    <n v="40.31438949221004"/>
    <n v="7319.6463099999964"/>
    <n v="73.19646309999996"/>
    <n v="4.2236851182919768"/>
  </r>
  <r>
    <x v="992"/>
    <n v="100120.7111"/>
    <n v="89572.407619999998"/>
    <n v="2482"/>
    <n v="40.338723247381147"/>
    <n v="10548.303480000002"/>
    <n v="105.48303480000003"/>
    <n v="4.2499208219178088"/>
  </r>
  <r>
    <x v="993"/>
    <n v="49825.097040000001"/>
    <n v="44593.796880000002"/>
    <n v="1235"/>
    <n v="40.344208129554659"/>
    <n v="5231.3001599999989"/>
    <n v="52.313001599999986"/>
    <n v="4.2358705748987848"/>
  </r>
  <r>
    <x v="994"/>
    <n v="46566.462050000002"/>
    <n v="41660.440430000002"/>
    <n v="1155"/>
    <n v="40.317283160173162"/>
    <n v="4906.0216199999995"/>
    <n v="49.060216199999992"/>
    <n v="4.2476377662337654"/>
  </r>
  <r>
    <x v="995"/>
    <n v="37923.76586"/>
    <n v="34031.149490000003"/>
    <n v="940"/>
    <n v="40.344431765957445"/>
    <n v="3892.6163699999961"/>
    <n v="38.926163699999961"/>
    <n v="4.1410812446808469"/>
  </r>
  <r>
    <x v="996"/>
    <n v="50084.812700000002"/>
    <n v="44832.212599999999"/>
    <n v="1241"/>
    <n v="40.358430862207896"/>
    <n v="5252.6001000000033"/>
    <n v="52.526001000000036"/>
    <n v="4.2325544721998414"/>
  </r>
  <r>
    <x v="997"/>
    <n v="41885.828280000002"/>
    <n v="37565.478589999999"/>
    <n v="1039"/>
    <n v="40.313597959576519"/>
    <n v="4320.3496900000027"/>
    <n v="43.203496900000026"/>
    <n v="4.1581806448508205"/>
  </r>
  <r>
    <x v="998"/>
    <n v="147503.57320000001"/>
    <n v="131964.51579999999"/>
    <n v="3657"/>
    <n v="40.334583866557288"/>
    <n v="15539.05740000002"/>
    <n v="155.39057400000019"/>
    <n v="4.2491269893355259"/>
  </r>
  <r>
    <x v="999"/>
    <n v="151639.1838"/>
    <n v="135498.16320000001"/>
    <n v="3758"/>
    <n v="40.351033475252791"/>
    <n v="16141.020599999989"/>
    <n v="161.4102059999999"/>
    <n v="4.295109260244808"/>
  </r>
  <r>
    <x v="1000"/>
    <n v="72457.297590000002"/>
    <n v="64758.50417"/>
    <n v="1797"/>
    <n v="40.321256310517533"/>
    <n v="7698.7934200000018"/>
    <n v="76.987934200000012"/>
    <n v="4.2842478686700067"/>
  </r>
  <r>
    <x v="1001"/>
    <n v="67355.061180000004"/>
    <n v="60179.020850000001"/>
    <n v="1671"/>
    <n v="40.308235296229803"/>
    <n v="7176.0403300000035"/>
    <n v="71.760403300000036"/>
    <n v="4.2944586056253762"/>
  </r>
  <r>
    <x v="1002"/>
    <n v="58941.792829999999"/>
    <n v="52812.782509999997"/>
    <n v="1462"/>
    <n v="40.315863768809848"/>
    <n v="6129.0103200000012"/>
    <n v="61.290103200000011"/>
    <n v="4.1922095212038313"/>
  </r>
  <r>
    <x v="1003"/>
    <n v="58796.785020000003"/>
    <n v="57168.5605"/>
    <n v="1581"/>
    <n v="37.189617343453513"/>
    <n v="1628.2245200000034"/>
    <n v="16.282245200000034"/>
    <n v="1.0298700316255556"/>
  </r>
  <r>
    <x v="1004"/>
    <n v="57019.389669999997"/>
    <n v="55187.383909999997"/>
    <n v="1534"/>
    <n v="37.170397438070403"/>
    <n v="1832.00576"/>
    <n v="18.320057599999998"/>
    <n v="1.1942671186440679"/>
  </r>
  <r>
    <x v="1005"/>
    <n v="155918.38260000001"/>
    <n v="151036.4455"/>
    <n v="4216"/>
    <n v="36.982538567362433"/>
    <n v="4881.9371000000101"/>
    <n v="48.819371000000103"/>
    <n v="1.1579547201138545"/>
  </r>
  <r>
    <x v="1006"/>
    <n v="208489.09030000001"/>
    <n v="201416.8376"/>
    <n v="5632"/>
    <n v="37.018659499289775"/>
    <n v="7072.2527000000118"/>
    <n v="70.722527000000113"/>
    <n v="1.2557266867897747"/>
  </r>
  <r>
    <x v="1007"/>
    <n v="118580.47259999999"/>
    <n v="113346.95729999999"/>
    <n v="3173"/>
    <n v="37.371721588402139"/>
    <n v="5233.5152999999991"/>
    <n v="52.335152999999991"/>
    <n v="1.6493902615820988"/>
  </r>
  <r>
    <x v="1008"/>
    <n v="142758.8811"/>
    <n v="126506.3447"/>
    <n v="3540"/>
    <n v="40.327367542372883"/>
    <n v="16252.536399999997"/>
    <n v="162.52536399999997"/>
    <n v="4.5911119774011295"/>
  </r>
  <r>
    <x v="1009"/>
    <n v="96620.986929999999"/>
    <n v="85491.833240000007"/>
    <n v="2397"/>
    <n v="40.309130967876513"/>
    <n v="11129.153689999992"/>
    <n v="111.29153689999993"/>
    <n v="4.6429510596579027"/>
  </r>
  <r>
    <x v="1010"/>
    <n v="78861.594939999995"/>
    <n v="69675.429149999996"/>
    <n v="1955"/>
    <n v="40.338411734015345"/>
    <n v="9186.1657899999991"/>
    <n v="91.861657899999997"/>
    <n v="4.6988060306905366"/>
  </r>
  <r>
    <x v="1011"/>
    <n v="70279.474390000003"/>
    <n v="61976.305789999999"/>
    <n v="1740"/>
    <n v="40.390502522988506"/>
    <n v="8303.1686000000045"/>
    <n v="83.03168600000005"/>
    <n v="4.7719359770114966"/>
  </r>
  <r>
    <x v="1012"/>
    <n v="87748.862890000004"/>
    <n v="77446.60944"/>
    <n v="2176"/>
    <n v="40.325764195772059"/>
    <n v="10302.253450000004"/>
    <n v="103.02253450000003"/>
    <n v="4.734491475183825"/>
  </r>
  <r>
    <x v="1013"/>
    <n v="92053.325769999996"/>
    <n v="81209.248349999994"/>
    <n v="2283"/>
    <n v="40.321211462987293"/>
    <n v="10844.077420000001"/>
    <n v="108.44077420000002"/>
    <n v="4.7499244064826991"/>
  </r>
  <r>
    <x v="1014"/>
    <n v="51751.383249999999"/>
    <n v="45607.234100000001"/>
    <n v="1284"/>
    <n v="40.304815615264793"/>
    <n v="6144.1491499999975"/>
    <n v="61.441491499999977"/>
    <n v="4.785162889408098"/>
  </r>
  <r>
    <x v="1015"/>
    <n v="50934.983189999999"/>
    <n v="44983.777300000002"/>
    <n v="1263"/>
    <n v="40.328569429928741"/>
    <n v="5951.2058899999975"/>
    <n v="59.512058899999971"/>
    <n v="4.7119603246239095"/>
  </r>
  <r>
    <x v="1016"/>
    <n v="36113.934869999997"/>
    <n v="31885.28845"/>
    <n v="896"/>
    <n v="40.305730881696427"/>
    <n v="4228.6464199999973"/>
    <n v="42.286464199999976"/>
    <n v="4.7194714508928541"/>
  </r>
  <r>
    <x v="1017"/>
    <n v="31023.359769999999"/>
    <n v="27817.642469999999"/>
    <n v="768"/>
    <n v="40.394999700520835"/>
    <n v="3205.7173000000003"/>
    <n v="32.057173000000006"/>
    <n v="4.174111067708334"/>
  </r>
  <r>
    <x v="1018"/>
    <n v="22334.212530000001"/>
    <n v="19704.093150000001"/>
    <n v="521"/>
    <n v="42.867970307101729"/>
    <n v="2630.1193800000001"/>
    <n v="26.3011938"/>
    <n v="5.048213781190019"/>
  </r>
  <r>
    <x v="1019"/>
    <n v="69440.928799999994"/>
    <n v="62070.751179999999"/>
    <n v="1618"/>
    <n v="42.917755747836829"/>
    <n v="7370.1776199999949"/>
    <n v="73.701776199999955"/>
    <n v="4.5551159579728031"/>
  </r>
  <r>
    <x v="1020"/>
    <n v="92159.029790000001"/>
    <n v="83371.817020000002"/>
    <n v="2147"/>
    <n v="42.924559753143924"/>
    <n v="8787.2127699999983"/>
    <n v="87.872127699999979"/>
    <n v="4.0927865719608745"/>
  </r>
  <r>
    <x v="1021"/>
    <n v="57296.287850000001"/>
    <n v="52701.294609999997"/>
    <n v="1335"/>
    <n v="42.918567677902622"/>
    <n v="4594.9932400000034"/>
    <n v="45.949932400000037"/>
    <n v="3.4419425018726617"/>
  </r>
  <r>
    <x v="1022"/>
    <n v="57184.941270000003"/>
    <n v="51764.93737"/>
    <n v="1332"/>
    <n v="42.931637590090091"/>
    <n v="5420.0039000000033"/>
    <n v="54.200039000000032"/>
    <n v="4.0690719969969997"/>
  </r>
  <r>
    <x v="1023"/>
    <n v="40951.10428"/>
    <n v="37288.62455"/>
    <n v="954"/>
    <n v="42.925685828092242"/>
    <n v="3662.4797299999991"/>
    <n v="36.62479729999999"/>
    <n v="3.839077285115303"/>
  </r>
  <r>
    <x v="1024"/>
    <n v="37672.447289999996"/>
    <n v="33678.459269999999"/>
    <n v="877"/>
    <n v="42.956040239452676"/>
    <n v="3993.9880199999971"/>
    <n v="39.939880199999969"/>
    <n v="4.5541482554161883"/>
  </r>
  <r>
    <x v="1025"/>
    <n v="38648.137519999997"/>
    <n v="35038.06869"/>
    <n v="906"/>
    <n v="42.657988432671075"/>
    <n v="3610.0688299999965"/>
    <n v="36.100688299999966"/>
    <n v="3.9846234326710777"/>
  </r>
  <r>
    <x v="1026"/>
    <n v="96020.545370000007"/>
    <n v="86810.277530000007"/>
    <n v="2249"/>
    <n v="42.694773397065369"/>
    <n v="9210.2678400000004"/>
    <n v="92.102678400000002"/>
    <n v="4.0952724944419741"/>
  </r>
  <r>
    <x v="1027"/>
    <n v="105662.59420000001"/>
    <n v="95930.016510000001"/>
    <n v="2472"/>
    <n v="42.743767880258901"/>
    <n v="9732.5776900000055"/>
    <n v="97.325776900000051"/>
    <n v="3.9371268972491933"/>
  </r>
  <r>
    <x v="1028"/>
    <n v="54738.483520000002"/>
    <n v="49990.519289999997"/>
    <n v="1280"/>
    <n v="42.76444025"/>
    <n v="4747.964230000005"/>
    <n v="47.479642300000052"/>
    <n v="3.709347054687504"/>
  </r>
  <r>
    <x v="1029"/>
    <n v="40131.573510000002"/>
    <n v="36347.69872"/>
    <n v="940"/>
    <n v="42.693163308510641"/>
    <n v="3783.8747900000017"/>
    <n v="37.838747900000016"/>
    <n v="4.0253987127659592"/>
  </r>
  <r>
    <x v="1030"/>
    <n v="70402.991930000004"/>
    <n v="63452.761039999998"/>
    <n v="1650"/>
    <n v="42.668479957575762"/>
    <n v="6950.2308900000062"/>
    <n v="69.50230890000006"/>
    <n v="4.2122611454545495"/>
  </r>
  <r>
    <x v="1031"/>
    <n v="62501.740700000002"/>
    <n v="56100.87429"/>
    <n v="1467"/>
    <n v="42.605140218132242"/>
    <n v="6400.8664100000024"/>
    <n v="64.008664100000018"/>
    <n v="4.3632354533060687"/>
  </r>
  <r>
    <x v="1032"/>
    <n v="53675.218280000001"/>
    <n v="48201.940979999999"/>
    <n v="1257"/>
    <n v="42.701048750994431"/>
    <n v="5473.2773000000016"/>
    <n v="54.732773000000016"/>
    <n v="4.3542381066030247"/>
  </r>
  <r>
    <x v="1033"/>
    <n v="102606.327"/>
    <n v="92657.699529999998"/>
    <n v="2405"/>
    <n v="42.663753430353431"/>
    <n v="9948.6274700000067"/>
    <n v="99.486274700000067"/>
    <n v="4.1366434386694415"/>
  </r>
  <r>
    <x v="1034"/>
    <n v="124988.15549999999"/>
    <n v="113187.84600000001"/>
    <n v="2929"/>
    <n v="42.672637589621026"/>
    <n v="11800.309499999988"/>
    <n v="118.00309499999989"/>
    <n v="4.0287843974052535"/>
  </r>
  <r>
    <x v="1035"/>
    <n v="67521.037490000002"/>
    <n v="61233.718869999997"/>
    <n v="1582"/>
    <n v="42.680807515802783"/>
    <n v="6287.3186200000055"/>
    <n v="62.873186200000056"/>
    <n v="3.9742848419721906"/>
  </r>
  <r>
    <x v="1036"/>
    <n v="70020.596009999994"/>
    <n v="62316.151339999997"/>
    <n v="1639"/>
    <n v="42.721535088468578"/>
    <n v="7704.4446699999971"/>
    <n v="77.044446699999966"/>
    <n v="4.7006983953630241"/>
  </r>
  <r>
    <x v="1037"/>
    <n v="126954.17019999999"/>
    <n v="110698.7429"/>
    <n v="2971"/>
    <n v="42.731124267923256"/>
    <n v="16255.427299999996"/>
    <n v="162.55427299999997"/>
    <n v="5.4713656344665083"/>
  </r>
  <r>
    <x v="1038"/>
    <n v="97558.247050000005"/>
    <n v="86203.875199999995"/>
    <n v="2284"/>
    <n v="42.713768410683016"/>
    <n v="11354.37185000001"/>
    <n v="113.54371850000011"/>
    <n v="4.9712661339754858"/>
  </r>
  <r>
    <x v="1039"/>
    <n v="97039.009869999994"/>
    <n v="89413.415970000002"/>
    <n v="2266"/>
    <n v="42.823923155339806"/>
    <n v="7625.5938999999926"/>
    <n v="76.255938999999927"/>
    <n v="3.3652223742277108"/>
  </r>
  <r>
    <x v="1040"/>
    <n v="168349.2653"/>
    <n v="156675.5901"/>
    <n v="3938"/>
    <n v="42.749940401218893"/>
    <n v="11673.675199999998"/>
    <n v="116.73675199999998"/>
    <n v="2.9643664804469267"/>
  </r>
  <r>
    <x v="1041"/>
    <n v="202017.42199999999"/>
    <n v="189394.6937"/>
    <n v="4720"/>
    <n v="42.800301271186441"/>
    <n v="12622.728299999988"/>
    <n v="126.22728299999989"/>
    <n v="2.6743068432203363"/>
  </r>
  <r>
    <x v="1042"/>
    <n v="108459.0001"/>
    <n v="102250.1678"/>
    <n v="2537"/>
    <n v="42.750886913677576"/>
    <n v="6208.8323000000091"/>
    <n v="62.088323000000088"/>
    <n v="2.4473126921560935"/>
  </r>
  <r>
    <x v="1043"/>
    <n v="112536.3771"/>
    <n v="105978.4825"/>
    <n v="2621"/>
    <n v="42.936427737504765"/>
    <n v="6557.8945999999996"/>
    <n v="65.578946000000002"/>
    <n v="2.5020582220526517"/>
  </r>
  <r>
    <x v="1044"/>
    <n v="100479.93"/>
    <n v="94692.479290000003"/>
    <n v="2341"/>
    <n v="42.921798376762062"/>
    <n v="5787.4507099999901"/>
    <n v="57.874507099999903"/>
    <n v="2.4722130328919221"/>
  </r>
  <r>
    <x v="1045"/>
    <n v="81649.688670000003"/>
    <n v="77081.660569999993"/>
    <n v="1901"/>
    <n v="42.950914608101002"/>
    <n v="4568.0281000000105"/>
    <n v="45.680281000000107"/>
    <n v="2.4029605996843824"/>
  </r>
  <r>
    <x v="1046"/>
    <n v="71529.162639999995"/>
    <n v="67551.250969999994"/>
    <n v="1666"/>
    <n v="42.934671452581028"/>
    <n v="3977.9116700000013"/>
    <n v="39.77911670000001"/>
    <n v="2.3877020828331341"/>
  </r>
  <r>
    <x v="1047"/>
    <n v="160938.60159999999"/>
    <n v="152555.4173"/>
    <n v="3748"/>
    <n v="42.939861686232653"/>
    <n v="8383.1842999999935"/>
    <n v="83.831842999999935"/>
    <n v="2.2367087246531465"/>
  </r>
  <r>
    <x v="1048"/>
    <n v="164998.84460000001"/>
    <n v="156263.1495"/>
    <n v="3843"/>
    <n v="42.934906219099666"/>
    <n v="8735.6951000000117"/>
    <n v="87.356951000000123"/>
    <n v="2.2731447046578226"/>
  </r>
  <r>
    <x v="1049"/>
    <n v="97946.783049999998"/>
    <n v="93112.608909999995"/>
    <n v="2281"/>
    <n v="42.94028191582639"/>
    <n v="4834.1741400000028"/>
    <n v="48.341741400000025"/>
    <n v="2.1193222884699705"/>
  </r>
  <r>
    <x v="1050"/>
    <n v="87834.253679999994"/>
    <n v="83068.269029999996"/>
    <n v="2046"/>
    <n v="42.929742756598237"/>
    <n v="4765.9846499999985"/>
    <n v="47.659846499999986"/>
    <n v="2.3294157624633423"/>
  </r>
  <r>
    <x v="1051"/>
    <n v="95509.134980000003"/>
    <n v="88104.204530000003"/>
    <n v="2181"/>
    <n v="43.791441989912883"/>
    <n v="7404.9304499999998"/>
    <n v="74.049304500000005"/>
    <n v="3.3951996561210454"/>
  </r>
  <r>
    <x v="1052"/>
    <n v="77229.971890000001"/>
    <n v="71428.87"/>
    <n v="1763"/>
    <n v="43.805996534316506"/>
    <n v="5801.1018900000054"/>
    <n v="58.011018900000053"/>
    <n v="3.29047186046511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8FB03-17DF-4F21-B5B5-31DD98D71A21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8">
    <pivotField axis="axisRow" showAll="0" sortType="ascending">
      <items count="1054">
        <item h="1" x="2"/>
        <item h="1" x="367"/>
        <item h="1" x="732"/>
        <item h="1" x="275"/>
        <item h="1" x="640"/>
        <item h="1" x="1006"/>
        <item h="1" x="306"/>
        <item h="1" x="671"/>
        <item h="1" x="1037"/>
        <item h="1" x="336"/>
        <item h="1" x="701"/>
        <item x="33"/>
        <item h="1" x="398"/>
        <item h="1" x="763"/>
        <item x="61"/>
        <item h="1" x="426"/>
        <item h="1" x="792"/>
        <item x="92"/>
        <item h="1" x="457"/>
        <item h="1" x="823"/>
        <item h="1" x="122"/>
        <item h="1" x="487"/>
        <item h="1" x="853"/>
        <item h="1" x="153"/>
        <item h="1" x="518"/>
        <item h="1" x="884"/>
        <item h="1" x="183"/>
        <item h="1" x="548"/>
        <item h="1" x="914"/>
        <item h="1" x="214"/>
        <item h="1" x="579"/>
        <item h="1" x="945"/>
        <item h="1" x="245"/>
        <item h="1" x="610"/>
        <item h="1" x="976"/>
        <item h="1" x="11"/>
        <item h="1" x="376"/>
        <item h="1" x="741"/>
        <item h="1" x="284"/>
        <item h="1" x="649"/>
        <item h="1" x="1015"/>
        <item h="1" x="315"/>
        <item h="1" x="680"/>
        <item h="1" x="1046"/>
        <item h="1" x="345"/>
        <item h="1" x="710"/>
        <item h="1" x="42"/>
        <item h="1" x="407"/>
        <item h="1" x="772"/>
        <item h="1" x="70"/>
        <item h="1" x="435"/>
        <item h="1" x="801"/>
        <item h="1" x="101"/>
        <item h="1" x="466"/>
        <item h="1" x="832"/>
        <item h="1" x="131"/>
        <item h="1" x="496"/>
        <item h="1" x="862"/>
        <item h="1" x="162"/>
        <item h="1" x="527"/>
        <item h="1" x="893"/>
        <item h="1" x="192"/>
        <item h="1" x="557"/>
        <item h="1" x="923"/>
        <item h="1" x="223"/>
        <item h="1" x="588"/>
        <item h="1" x="954"/>
        <item h="1" x="254"/>
        <item h="1" x="619"/>
        <item h="1" x="985"/>
        <item h="1" x="12"/>
        <item h="1" x="377"/>
        <item h="1" x="742"/>
        <item h="1" x="285"/>
        <item h="1" x="650"/>
        <item h="1" x="1016"/>
        <item h="1" x="316"/>
        <item h="1" x="681"/>
        <item h="1" x="1047"/>
        <item h="1" x="346"/>
        <item h="1" x="711"/>
        <item h="1" x="43"/>
        <item h="1" x="408"/>
        <item h="1" x="773"/>
        <item h="1" x="71"/>
        <item h="1" x="436"/>
        <item h="1" x="802"/>
        <item h="1" x="102"/>
        <item h="1" x="467"/>
        <item h="1" x="833"/>
        <item h="1" x="132"/>
        <item h="1" x="497"/>
        <item h="1" x="863"/>
        <item h="1" x="163"/>
        <item h="1" x="528"/>
        <item h="1" x="894"/>
        <item h="1" x="193"/>
        <item h="1" x="558"/>
        <item h="1" x="924"/>
        <item h="1" x="224"/>
        <item h="1" x="589"/>
        <item h="1" x="955"/>
        <item h="1" x="255"/>
        <item h="1" x="620"/>
        <item h="1" x="986"/>
        <item h="1" x="13"/>
        <item h="1" x="378"/>
        <item h="1" x="743"/>
        <item h="1" x="286"/>
        <item h="1" x="651"/>
        <item h="1" x="1017"/>
        <item h="1" x="317"/>
        <item h="1" x="682"/>
        <item h="1" x="1048"/>
        <item h="1" x="347"/>
        <item h="1" x="712"/>
        <item h="1" x="44"/>
        <item h="1" x="409"/>
        <item h="1" x="774"/>
        <item h="1" x="72"/>
        <item h="1" x="437"/>
        <item h="1" x="803"/>
        <item h="1" x="103"/>
        <item h="1" x="468"/>
        <item h="1" x="834"/>
        <item h="1" x="133"/>
        <item h="1" x="498"/>
        <item h="1" x="864"/>
        <item h="1" x="164"/>
        <item h="1" x="529"/>
        <item h="1" x="895"/>
        <item h="1" x="194"/>
        <item h="1" x="559"/>
        <item h="1" x="925"/>
        <item h="1" x="225"/>
        <item h="1" x="590"/>
        <item h="1" x="956"/>
        <item h="1" x="256"/>
        <item h="1" x="621"/>
        <item h="1" x="987"/>
        <item h="1" x="14"/>
        <item h="1" x="379"/>
        <item h="1" x="744"/>
        <item h="1" x="287"/>
        <item h="1" x="652"/>
        <item h="1" x="1018"/>
        <item h="1" x="318"/>
        <item h="1" x="683"/>
        <item h="1" x="1049"/>
        <item h="1" x="348"/>
        <item h="1" x="713"/>
        <item h="1" x="45"/>
        <item h="1" x="410"/>
        <item h="1" x="775"/>
        <item h="1" x="73"/>
        <item h="1" x="438"/>
        <item h="1" x="804"/>
        <item h="1" x="104"/>
        <item h="1" x="469"/>
        <item h="1" x="835"/>
        <item h="1" x="134"/>
        <item h="1" x="499"/>
        <item h="1" x="865"/>
        <item h="1" x="165"/>
        <item h="1" x="530"/>
        <item h="1" x="896"/>
        <item h="1" x="195"/>
        <item h="1" x="560"/>
        <item h="1" x="926"/>
        <item h="1" x="226"/>
        <item h="1" x="591"/>
        <item h="1" x="957"/>
        <item h="1" x="257"/>
        <item h="1" x="622"/>
        <item h="1" x="988"/>
        <item h="1" x="15"/>
        <item h="1" x="380"/>
        <item h="1" x="745"/>
        <item h="1" x="288"/>
        <item h="1" x="653"/>
        <item h="1" x="1019"/>
        <item h="1" x="319"/>
        <item h="1" x="684"/>
        <item h="1" x="1050"/>
        <item h="1" x="349"/>
        <item h="1" x="714"/>
        <item h="1" x="46"/>
        <item h="1" x="411"/>
        <item h="1" x="776"/>
        <item h="1" x="74"/>
        <item h="1" x="439"/>
        <item h="1" x="805"/>
        <item h="1" x="105"/>
        <item h="1" x="470"/>
        <item h="1" x="836"/>
        <item h="1" x="135"/>
        <item h="1" x="500"/>
        <item h="1" x="866"/>
        <item h="1" x="166"/>
        <item h="1" x="531"/>
        <item h="1" x="897"/>
        <item h="1" x="196"/>
        <item h="1" x="561"/>
        <item h="1" x="927"/>
        <item h="1" x="227"/>
        <item h="1" x="592"/>
        <item h="1" x="958"/>
        <item h="1" x="258"/>
        <item h="1" x="623"/>
        <item h="1" x="989"/>
        <item h="1" x="16"/>
        <item h="1" x="381"/>
        <item h="1" x="746"/>
        <item h="1" x="289"/>
        <item h="1" x="654"/>
        <item h="1" x="1020"/>
        <item h="1" x="320"/>
        <item h="1" x="685"/>
        <item h="1" x="1051"/>
        <item h="1" x="350"/>
        <item h="1" x="715"/>
        <item h="1" x="47"/>
        <item h="1" x="412"/>
        <item h="1" x="777"/>
        <item h="1" x="75"/>
        <item h="1" x="440"/>
        <item h="1" x="806"/>
        <item h="1" x="106"/>
        <item h="1" x="471"/>
        <item h="1" x="837"/>
        <item h="1" x="136"/>
        <item h="1" x="501"/>
        <item h="1" x="867"/>
        <item h="1" x="167"/>
        <item h="1" x="532"/>
        <item h="1" x="898"/>
        <item h="1" x="197"/>
        <item h="1" x="562"/>
        <item h="1" x="928"/>
        <item h="1" x="228"/>
        <item h="1" x="593"/>
        <item h="1" x="959"/>
        <item h="1" x="259"/>
        <item h="1" x="624"/>
        <item h="1" x="990"/>
        <item h="1" x="17"/>
        <item h="1" x="382"/>
        <item h="1" x="747"/>
        <item h="1" x="290"/>
        <item h="1" x="655"/>
        <item h="1" x="1021"/>
        <item h="1" x="321"/>
        <item h="1" x="686"/>
        <item h="1" x="1052"/>
        <item h="1" x="351"/>
        <item h="1" x="716"/>
        <item h="1" x="48"/>
        <item h="1" x="413"/>
        <item h="1" x="778"/>
        <item h="1" x="76"/>
        <item h="1" x="441"/>
        <item h="1" x="807"/>
        <item h="1" x="107"/>
        <item h="1" x="472"/>
        <item h="1" x="838"/>
        <item h="1" x="137"/>
        <item h="1" x="502"/>
        <item h="1" x="868"/>
        <item h="1" x="168"/>
        <item h="1" x="533"/>
        <item h="1" x="899"/>
        <item h="1" x="198"/>
        <item h="1" x="563"/>
        <item h="1" x="929"/>
        <item h="1" x="229"/>
        <item h="1" x="594"/>
        <item h="1" x="960"/>
        <item h="1" x="260"/>
        <item h="1" x="625"/>
        <item h="1" x="991"/>
        <item h="1" x="18"/>
        <item h="1" x="383"/>
        <item h="1" x="748"/>
        <item h="1" x="291"/>
        <item h="1" x="656"/>
        <item h="1" x="1022"/>
        <item h="1" x="322"/>
        <item h="1" x="687"/>
        <item h="1" x="352"/>
        <item h="1" x="717"/>
        <item h="1" x="49"/>
        <item h="1" x="414"/>
        <item h="1" x="779"/>
        <item h="1" x="77"/>
        <item h="1" x="442"/>
        <item h="1" x="808"/>
        <item h="1" x="108"/>
        <item h="1" x="473"/>
        <item h="1" x="839"/>
        <item h="1" x="138"/>
        <item h="1" x="503"/>
        <item h="1" x="869"/>
        <item h="1" x="169"/>
        <item h="1" x="534"/>
        <item h="1" x="900"/>
        <item h="1" x="199"/>
        <item h="1" x="564"/>
        <item h="1" x="930"/>
        <item h="1" x="230"/>
        <item h="1" x="595"/>
        <item h="1" x="961"/>
        <item h="1" x="261"/>
        <item h="1" x="626"/>
        <item h="1" x="992"/>
        <item h="1" x="19"/>
        <item h="1" x="384"/>
        <item h="1" x="749"/>
        <item h="1" x="292"/>
        <item h="1" x="657"/>
        <item h="1" x="1023"/>
        <item h="1" x="323"/>
        <item h="1" x="688"/>
        <item h="1" x="353"/>
        <item h="1" x="718"/>
        <item h="1" x="50"/>
        <item h="1" x="415"/>
        <item h="1" x="780"/>
        <item h="1" x="78"/>
        <item h="1" x="443"/>
        <item h="1" x="809"/>
        <item h="1" x="109"/>
        <item h="1" x="474"/>
        <item h="1" x="840"/>
        <item h="1" x="139"/>
        <item h="1" x="504"/>
        <item h="1" x="870"/>
        <item h="1" x="170"/>
        <item h="1" x="535"/>
        <item h="1" x="901"/>
        <item h="1" x="200"/>
        <item h="1" x="565"/>
        <item h="1" x="931"/>
        <item h="1" x="231"/>
        <item h="1" x="596"/>
        <item h="1" x="962"/>
        <item h="1" x="262"/>
        <item h="1" x="627"/>
        <item h="1" x="993"/>
        <item h="1" x="20"/>
        <item h="1" x="385"/>
        <item h="1" x="750"/>
        <item h="1" x="293"/>
        <item h="1" x="658"/>
        <item h="1" x="1024"/>
        <item h="1" x="324"/>
        <item h="1" x="689"/>
        <item h="1" x="354"/>
        <item h="1" x="719"/>
        <item h="1" x="51"/>
        <item h="1" x="416"/>
        <item h="1" x="781"/>
        <item h="1" x="79"/>
        <item h="1" x="444"/>
        <item h="1" x="810"/>
        <item h="1" x="110"/>
        <item h="1" x="475"/>
        <item h="1" x="841"/>
        <item h="1" x="140"/>
        <item h="1" x="505"/>
        <item h="1" x="871"/>
        <item h="1" x="171"/>
        <item h="1" x="536"/>
        <item h="1" x="902"/>
        <item h="1" x="201"/>
        <item h="1" x="566"/>
        <item h="1" x="932"/>
        <item h="1" x="232"/>
        <item h="1" x="597"/>
        <item h="1" x="963"/>
        <item h="1" x="263"/>
        <item h="1" x="628"/>
        <item h="1" x="994"/>
        <item h="1" x="3"/>
        <item h="1" x="368"/>
        <item h="1" x="733"/>
        <item h="1" x="276"/>
        <item h="1" x="641"/>
        <item h="1" x="1007"/>
        <item h="1" x="307"/>
        <item h="1" x="672"/>
        <item h="1" x="1038"/>
        <item h="1" x="337"/>
        <item h="1" x="702"/>
        <item h="1" x="34"/>
        <item h="1" x="399"/>
        <item h="1" x="764"/>
        <item h="1" x="62"/>
        <item h="1" x="427"/>
        <item h="1" x="793"/>
        <item h="1" x="93"/>
        <item h="1" x="458"/>
        <item h="1" x="824"/>
        <item h="1" x="123"/>
        <item h="1" x="488"/>
        <item h="1" x="854"/>
        <item h="1" x="154"/>
        <item h="1" x="519"/>
        <item h="1" x="885"/>
        <item h="1" x="184"/>
        <item h="1" x="549"/>
        <item h="1" x="915"/>
        <item h="1" x="215"/>
        <item h="1" x="580"/>
        <item h="1" x="946"/>
        <item h="1" x="246"/>
        <item h="1" x="611"/>
        <item h="1" x="977"/>
        <item h="1" x="21"/>
        <item h="1" x="386"/>
        <item h="1" x="751"/>
        <item h="1" x="294"/>
        <item h="1" x="659"/>
        <item h="1" x="1025"/>
        <item h="1" x="325"/>
        <item h="1" x="690"/>
        <item h="1" x="355"/>
        <item h="1" x="720"/>
        <item h="1" x="52"/>
        <item h="1" x="417"/>
        <item h="1" x="782"/>
        <item h="1" x="80"/>
        <item h="1" x="445"/>
        <item h="1" x="811"/>
        <item h="1" x="111"/>
        <item h="1" x="476"/>
        <item h="1" x="842"/>
        <item h="1" x="141"/>
        <item h="1" x="506"/>
        <item h="1" x="872"/>
        <item h="1" x="172"/>
        <item h="1" x="537"/>
        <item h="1" x="903"/>
        <item h="1" x="202"/>
        <item h="1" x="567"/>
        <item h="1" x="933"/>
        <item h="1" x="233"/>
        <item h="1" x="598"/>
        <item h="1" x="964"/>
        <item h="1" x="264"/>
        <item h="1" x="629"/>
        <item h="1" x="995"/>
        <item h="1" x="22"/>
        <item h="1" x="387"/>
        <item h="1" x="752"/>
        <item h="1" x="295"/>
        <item h="1" x="660"/>
        <item h="1" x="1026"/>
        <item h="1" x="326"/>
        <item h="1" x="691"/>
        <item h="1" x="356"/>
        <item h="1" x="721"/>
        <item h="1" x="53"/>
        <item h="1" x="418"/>
        <item h="1" x="783"/>
        <item h="1" x="81"/>
        <item h="1" x="446"/>
        <item h="1" x="812"/>
        <item h="1" x="112"/>
        <item h="1" x="477"/>
        <item h="1" x="843"/>
        <item h="1" x="142"/>
        <item h="1" x="507"/>
        <item h="1" x="873"/>
        <item h="1" x="173"/>
        <item h="1" x="538"/>
        <item h="1" x="904"/>
        <item h="1" x="203"/>
        <item h="1" x="568"/>
        <item h="1" x="934"/>
        <item h="1" x="234"/>
        <item h="1" x="599"/>
        <item h="1" x="965"/>
        <item h="1" x="265"/>
        <item h="1" x="630"/>
        <item h="1" x="996"/>
        <item h="1" x="23"/>
        <item h="1" x="388"/>
        <item h="1" x="753"/>
        <item h="1" x="296"/>
        <item h="1" x="661"/>
        <item h="1" x="1027"/>
        <item h="1" x="327"/>
        <item h="1" x="692"/>
        <item h="1" x="357"/>
        <item h="1" x="722"/>
        <item h="1" x="54"/>
        <item h="1" x="419"/>
        <item h="1" x="784"/>
        <item h="1" x="82"/>
        <item h="1" x="447"/>
        <item h="1" x="813"/>
        <item h="1" x="113"/>
        <item h="1" x="478"/>
        <item h="1" x="844"/>
        <item h="1" x="143"/>
        <item h="1" x="508"/>
        <item h="1" x="874"/>
        <item h="1" x="174"/>
        <item h="1" x="539"/>
        <item h="1" x="905"/>
        <item h="1" x="204"/>
        <item h="1" x="569"/>
        <item h="1" x="935"/>
        <item h="1" x="235"/>
        <item h="1" x="600"/>
        <item h="1" x="966"/>
        <item h="1" x="266"/>
        <item h="1" x="631"/>
        <item h="1" x="997"/>
        <item h="1" x="24"/>
        <item h="1" x="389"/>
        <item h="1" x="754"/>
        <item h="1" x="297"/>
        <item h="1" x="662"/>
        <item h="1" x="1028"/>
        <item h="1" x="328"/>
        <item h="1" x="693"/>
        <item h="1" x="358"/>
        <item h="1" x="723"/>
        <item h="1" x="55"/>
        <item h="1" x="420"/>
        <item h="1" x="785"/>
        <item h="1" x="83"/>
        <item h="1" x="448"/>
        <item h="1" x="814"/>
        <item h="1" x="114"/>
        <item h="1" x="479"/>
        <item h="1" x="845"/>
        <item h="1" x="144"/>
        <item h="1" x="509"/>
        <item h="1" x="875"/>
        <item h="1" x="175"/>
        <item h="1" x="540"/>
        <item h="1" x="906"/>
        <item h="1" x="205"/>
        <item h="1" x="570"/>
        <item h="1" x="936"/>
        <item h="1" x="236"/>
        <item h="1" x="601"/>
        <item h="1" x="967"/>
        <item h="1" x="267"/>
        <item h="1" x="632"/>
        <item h="1" x="998"/>
        <item h="1" x="25"/>
        <item h="1" x="390"/>
        <item h="1" x="755"/>
        <item h="1" x="298"/>
        <item h="1" x="663"/>
        <item h="1" x="1029"/>
        <item h="1" x="329"/>
        <item h="1" x="694"/>
        <item h="1" x="359"/>
        <item h="1" x="724"/>
        <item h="1" x="56"/>
        <item h="1" x="421"/>
        <item h="1" x="786"/>
        <item h="1" x="84"/>
        <item h="1" x="449"/>
        <item h="1" x="815"/>
        <item h="1" x="115"/>
        <item h="1" x="480"/>
        <item h="1" x="846"/>
        <item h="1" x="145"/>
        <item h="1" x="510"/>
        <item h="1" x="876"/>
        <item h="1" x="176"/>
        <item h="1" x="541"/>
        <item h="1" x="907"/>
        <item h="1" x="206"/>
        <item h="1" x="571"/>
        <item h="1" x="937"/>
        <item h="1" x="237"/>
        <item h="1" x="602"/>
        <item h="1" x="968"/>
        <item h="1" x="268"/>
        <item h="1" x="633"/>
        <item h="1" x="999"/>
        <item h="1" x="26"/>
        <item h="1" x="391"/>
        <item h="1" x="756"/>
        <item h="1" x="299"/>
        <item h="1" x="664"/>
        <item h="1" x="1030"/>
        <item h="1" x="330"/>
        <item h="1" x="695"/>
        <item h="1" x="360"/>
        <item h="1" x="725"/>
        <item h="1" x="57"/>
        <item h="1" x="422"/>
        <item h="1" x="787"/>
        <item h="1" x="85"/>
        <item h="1" x="450"/>
        <item h="1" x="816"/>
        <item h="1" x="116"/>
        <item h="1" x="481"/>
        <item h="1" x="847"/>
        <item h="1" x="146"/>
        <item h="1" x="511"/>
        <item h="1" x="877"/>
        <item h="1" x="177"/>
        <item h="1" x="542"/>
        <item h="1" x="908"/>
        <item h="1" x="207"/>
        <item h="1" x="572"/>
        <item h="1" x="938"/>
        <item h="1" x="238"/>
        <item h="1" x="603"/>
        <item h="1" x="969"/>
        <item h="1" x="269"/>
        <item h="1" x="634"/>
        <item h="1" x="1000"/>
        <item h="1" x="27"/>
        <item h="1" x="392"/>
        <item h="1" x="757"/>
        <item h="1" x="300"/>
        <item h="1" x="665"/>
        <item h="1" x="1031"/>
        <item h="1" x="331"/>
        <item h="1" x="696"/>
        <item h="1" x="361"/>
        <item h="1" x="726"/>
        <item h="1" x="58"/>
        <item h="1" x="423"/>
        <item h="1" x="788"/>
        <item h="1" x="86"/>
        <item h="1" x="451"/>
        <item h="1" x="817"/>
        <item h="1" x="117"/>
        <item h="1" x="482"/>
        <item h="1" x="848"/>
        <item h="1" x="147"/>
        <item h="1" x="512"/>
        <item h="1" x="878"/>
        <item h="1" x="178"/>
        <item h="1" x="543"/>
        <item h="1" x="909"/>
        <item h="1" x="208"/>
        <item h="1" x="573"/>
        <item h="1" x="939"/>
        <item h="1" x="239"/>
        <item h="1" x="604"/>
        <item h="1" x="970"/>
        <item h="1" x="270"/>
        <item h="1" x="635"/>
        <item h="1" x="1001"/>
        <item h="1" x="28"/>
        <item h="1" x="393"/>
        <item h="1" x="758"/>
        <item h="1" x="301"/>
        <item h="1" x="666"/>
        <item h="1" x="1032"/>
        <item h="1" x="332"/>
        <item h="1" x="697"/>
        <item h="1" x="362"/>
        <item h="1" x="727"/>
        <item h="1" x="59"/>
        <item h="1" x="424"/>
        <item h="1" x="789"/>
        <item h="1" x="87"/>
        <item h="1" x="452"/>
        <item h="1" x="818"/>
        <item h="1" x="118"/>
        <item h="1" x="483"/>
        <item h="1" x="849"/>
        <item h="1" x="148"/>
        <item h="1" x="513"/>
        <item h="1" x="879"/>
        <item h="1" x="179"/>
        <item h="1" x="544"/>
        <item h="1" x="910"/>
        <item h="1" x="209"/>
        <item h="1" x="574"/>
        <item h="1" x="940"/>
        <item h="1" x="240"/>
        <item h="1" x="605"/>
        <item h="1" x="971"/>
        <item h="1" x="271"/>
        <item h="1" x="636"/>
        <item h="1" x="1002"/>
        <item h="1" x="29"/>
        <item h="1" x="394"/>
        <item h="1" x="759"/>
        <item h="1" x="302"/>
        <item h="1" x="667"/>
        <item h="1" x="1033"/>
        <item h="1" x="333"/>
        <item h="1" x="698"/>
        <item h="1" x="363"/>
        <item h="1" x="728"/>
        <item h="1" x="60"/>
        <item h="1" x="425"/>
        <item h="1" x="790"/>
        <item h="1" x="88"/>
        <item h="1" x="453"/>
        <item h="1" x="819"/>
        <item h="1" x="119"/>
        <item h="1" x="484"/>
        <item h="1" x="850"/>
        <item h="1" x="149"/>
        <item h="1" x="514"/>
        <item h="1" x="880"/>
        <item h="1" x="180"/>
        <item h="1" x="545"/>
        <item h="1" x="911"/>
        <item h="1" x="210"/>
        <item h="1" x="575"/>
        <item h="1" x="941"/>
        <item h="1" x="241"/>
        <item h="1" x="606"/>
        <item h="1" x="972"/>
        <item h="1" x="272"/>
        <item h="1" x="637"/>
        <item h="1" x="1003"/>
        <item h="1" x="30"/>
        <item h="1" x="395"/>
        <item h="1" x="760"/>
        <item h="1" x="303"/>
        <item h="1" x="668"/>
        <item h="1" x="1034"/>
        <item h="1" x="334"/>
        <item h="1" x="699"/>
        <item h="1" x="364"/>
        <item h="1" x="729"/>
        <item h="1" x="791"/>
        <item h="1" x="89"/>
        <item h="1" x="454"/>
        <item h="1" x="820"/>
        <item h="1" x="120"/>
        <item h="1" x="485"/>
        <item h="1" x="851"/>
        <item h="1" x="150"/>
        <item h="1" x="515"/>
        <item h="1" x="881"/>
        <item h="1" x="181"/>
        <item h="1" x="546"/>
        <item h="1" x="912"/>
        <item h="1" x="211"/>
        <item h="1" x="576"/>
        <item h="1" x="942"/>
        <item h="1" x="242"/>
        <item h="1" x="607"/>
        <item h="1" x="973"/>
        <item h="1" x="273"/>
        <item h="1" x="638"/>
        <item h="1" x="1004"/>
        <item h="1" x="4"/>
        <item h="1" x="369"/>
        <item h="1" x="734"/>
        <item h="1" x="277"/>
        <item h="1" x="642"/>
        <item h="1" x="1008"/>
        <item h="1" x="308"/>
        <item h="1" x="673"/>
        <item h="1" x="1039"/>
        <item h="1" x="338"/>
        <item h="1" x="703"/>
        <item h="1" x="35"/>
        <item h="1" x="400"/>
        <item h="1" x="765"/>
        <item h="1" x="63"/>
        <item h="1" x="428"/>
        <item h="1" x="794"/>
        <item h="1" x="94"/>
        <item h="1" x="459"/>
        <item h="1" x="825"/>
        <item h="1" x="124"/>
        <item h="1" x="489"/>
        <item h="1" x="855"/>
        <item h="1" x="155"/>
        <item h="1" x="520"/>
        <item h="1" x="886"/>
        <item h="1" x="185"/>
        <item h="1" x="550"/>
        <item h="1" x="916"/>
        <item h="1" x="216"/>
        <item h="1" x="581"/>
        <item h="1" x="947"/>
        <item h="1" x="247"/>
        <item h="1" x="612"/>
        <item h="1" x="978"/>
        <item h="1" x="31"/>
        <item h="1" x="396"/>
        <item h="1" x="761"/>
        <item h="1" x="304"/>
        <item h="1" x="669"/>
        <item h="1" x="1035"/>
        <item h="1" x="335"/>
        <item h="1" x="700"/>
        <item h="1" x="0"/>
        <item h="1" x="365"/>
        <item h="1" x="730"/>
        <item h="1" x="90"/>
        <item h="1" x="455"/>
        <item h="1" x="821"/>
        <item h="1" x="121"/>
        <item h="1" x="486"/>
        <item h="1" x="852"/>
        <item h="1" x="151"/>
        <item h="1" x="516"/>
        <item h="1" x="882"/>
        <item h="1" x="182"/>
        <item h="1" x="547"/>
        <item h="1" x="913"/>
        <item h="1" x="212"/>
        <item h="1" x="577"/>
        <item h="1" x="943"/>
        <item h="1" x="243"/>
        <item h="1" x="608"/>
        <item h="1" x="974"/>
        <item h="1" x="274"/>
        <item h="1" x="639"/>
        <item h="1" x="1005"/>
        <item h="1" x="32"/>
        <item h="1" x="397"/>
        <item h="1" x="762"/>
        <item h="1" x="305"/>
        <item h="1" x="670"/>
        <item h="1" x="1036"/>
        <item h="1" x="1"/>
        <item h="1" x="366"/>
        <item h="1" x="731"/>
        <item h="1" x="91"/>
        <item h="1" x="456"/>
        <item h="1" x="822"/>
        <item h="1" x="152"/>
        <item h="1" x="517"/>
        <item h="1" x="883"/>
        <item h="1" x="213"/>
        <item h="1" x="578"/>
        <item h="1" x="944"/>
        <item h="1" x="244"/>
        <item h="1" x="609"/>
        <item h="1" x="975"/>
        <item h="1" x="5"/>
        <item h="1" x="370"/>
        <item h="1" x="735"/>
        <item h="1" x="278"/>
        <item h="1" x="643"/>
        <item h="1" x="1009"/>
        <item h="1" x="309"/>
        <item h="1" x="674"/>
        <item h="1" x="1040"/>
        <item h="1" x="339"/>
        <item h="1" x="704"/>
        <item h="1" x="36"/>
        <item h="1" x="401"/>
        <item h="1" x="766"/>
        <item h="1" x="64"/>
        <item h="1" x="429"/>
        <item h="1" x="795"/>
        <item h="1" x="95"/>
        <item h="1" x="460"/>
        <item h="1" x="826"/>
        <item h="1" x="125"/>
        <item h="1" x="490"/>
        <item h="1" x="856"/>
        <item h="1" x="156"/>
        <item h="1" x="521"/>
        <item h="1" x="887"/>
        <item h="1" x="186"/>
        <item h="1" x="551"/>
        <item h="1" x="917"/>
        <item h="1" x="217"/>
        <item h="1" x="582"/>
        <item h="1" x="948"/>
        <item h="1" x="248"/>
        <item h="1" x="613"/>
        <item h="1" x="979"/>
        <item h="1" x="6"/>
        <item h="1" x="371"/>
        <item h="1" x="736"/>
        <item h="1" x="279"/>
        <item h="1" x="644"/>
        <item h="1" x="1010"/>
        <item h="1" x="310"/>
        <item h="1" x="675"/>
        <item h="1" x="1041"/>
        <item h="1" x="340"/>
        <item h="1" x="705"/>
        <item h="1" x="37"/>
        <item h="1" x="402"/>
        <item h="1" x="767"/>
        <item h="1" x="65"/>
        <item h="1" x="430"/>
        <item h="1" x="796"/>
        <item h="1" x="96"/>
        <item h="1" x="461"/>
        <item h="1" x="827"/>
        <item h="1" x="126"/>
        <item h="1" x="491"/>
        <item h="1" x="857"/>
        <item h="1" x="157"/>
        <item h="1" x="522"/>
        <item h="1" x="888"/>
        <item h="1" x="187"/>
        <item h="1" x="552"/>
        <item h="1" x="918"/>
        <item h="1" x="218"/>
        <item h="1" x="583"/>
        <item h="1" x="949"/>
        <item h="1" x="249"/>
        <item h="1" x="614"/>
        <item h="1" x="980"/>
        <item h="1" x="7"/>
        <item h="1" x="372"/>
        <item h="1" x="737"/>
        <item h="1" x="280"/>
        <item h="1" x="645"/>
        <item h="1" x="1011"/>
        <item h="1" x="311"/>
        <item h="1" x="676"/>
        <item h="1" x="1042"/>
        <item h="1" x="341"/>
        <item h="1" x="706"/>
        <item h="1" x="38"/>
        <item h="1" x="403"/>
        <item h="1" x="768"/>
        <item h="1" x="66"/>
        <item h="1" x="431"/>
        <item h="1" x="797"/>
        <item h="1" x="97"/>
        <item h="1" x="462"/>
        <item h="1" x="828"/>
        <item h="1" x="127"/>
        <item h="1" x="492"/>
        <item h="1" x="858"/>
        <item h="1" x="158"/>
        <item h="1" x="523"/>
        <item h="1" x="889"/>
        <item h="1" x="188"/>
        <item h="1" x="553"/>
        <item h="1" x="919"/>
        <item h="1" x="219"/>
        <item h="1" x="584"/>
        <item h="1" x="950"/>
        <item h="1" x="250"/>
        <item h="1" x="615"/>
        <item h="1" x="981"/>
        <item h="1" x="8"/>
        <item h="1" x="373"/>
        <item h="1" x="738"/>
        <item h="1" x="281"/>
        <item h="1" x="646"/>
        <item h="1" x="1012"/>
        <item h="1" x="312"/>
        <item h="1" x="677"/>
        <item h="1" x="1043"/>
        <item h="1" x="342"/>
        <item h="1" x="707"/>
        <item h="1" x="39"/>
        <item h="1" x="404"/>
        <item h="1" x="769"/>
        <item h="1" x="67"/>
        <item h="1" x="432"/>
        <item h="1" x="798"/>
        <item h="1" x="98"/>
        <item h="1" x="463"/>
        <item h="1" x="829"/>
        <item h="1" x="128"/>
        <item h="1" x="493"/>
        <item h="1" x="859"/>
        <item h="1" x="159"/>
        <item h="1" x="524"/>
        <item h="1" x="890"/>
        <item h="1" x="189"/>
        <item h="1" x="554"/>
        <item h="1" x="920"/>
        <item h="1" x="220"/>
        <item h="1" x="585"/>
        <item h="1" x="951"/>
        <item h="1" x="251"/>
        <item h="1" x="616"/>
        <item h="1" x="982"/>
        <item h="1" x="9"/>
        <item h="1" x="374"/>
        <item h="1" x="739"/>
        <item h="1" x="282"/>
        <item h="1" x="647"/>
        <item h="1" x="1013"/>
        <item h="1" x="313"/>
        <item h="1" x="678"/>
        <item h="1" x="1044"/>
        <item h="1" x="343"/>
        <item h="1" x="708"/>
        <item h="1" x="40"/>
        <item h="1" x="405"/>
        <item h="1" x="770"/>
        <item h="1" x="68"/>
        <item h="1" x="433"/>
        <item h="1" x="799"/>
        <item h="1" x="99"/>
        <item h="1" x="464"/>
        <item h="1" x="830"/>
        <item h="1" x="129"/>
        <item h="1" x="494"/>
        <item h="1" x="860"/>
        <item h="1" x="160"/>
        <item h="1" x="525"/>
        <item h="1" x="891"/>
        <item h="1" x="190"/>
        <item h="1" x="555"/>
        <item h="1" x="921"/>
        <item h="1" x="221"/>
        <item h="1" x="586"/>
        <item h="1" x="952"/>
        <item h="1" x="252"/>
        <item h="1" x="617"/>
        <item h="1" x="983"/>
        <item h="1" x="10"/>
        <item h="1" x="375"/>
        <item h="1" x="740"/>
        <item h="1" x="283"/>
        <item h="1" x="648"/>
        <item h="1" x="1014"/>
        <item h="1" x="314"/>
        <item h="1" x="679"/>
        <item h="1" x="1045"/>
        <item h="1" x="344"/>
        <item h="1" x="709"/>
        <item h="1" x="41"/>
        <item h="1" x="406"/>
        <item h="1" x="771"/>
        <item h="1" x="69"/>
        <item h="1" x="434"/>
        <item h="1" x="800"/>
        <item h="1" x="100"/>
        <item h="1" x="465"/>
        <item h="1" x="831"/>
        <item h="1" x="130"/>
        <item h="1" x="495"/>
        <item h="1" x="861"/>
        <item h="1" x="161"/>
        <item h="1" x="526"/>
        <item h="1" x="892"/>
        <item h="1" x="191"/>
        <item h="1" x="556"/>
        <item h="1" x="922"/>
        <item h="1" x="222"/>
        <item h="1" x="587"/>
        <item h="1" x="953"/>
        <item h="1" x="253"/>
        <item h="1" x="618"/>
        <item h="1" x="984"/>
        <item t="default"/>
      </items>
    </pivotField>
    <pivotField dataField="1" showAll="0"/>
    <pivotField showAll="0"/>
    <pivotField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4">
    <i>
      <x v="11"/>
    </i>
    <i>
      <x v="14"/>
    </i>
    <i>
      <x v="17"/>
    </i>
    <i t="grand">
      <x/>
    </i>
  </rowItems>
  <colItems count="1">
    <i/>
  </colItems>
  <dataFields count="1">
    <dataField name="Average of Sales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2852-12A7-4908-83EA-FACBCD1BE577}">
  <dimension ref="A3:B7"/>
  <sheetViews>
    <sheetView tabSelected="1"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2" t="s">
        <v>1057</v>
      </c>
      <c r="B3" t="s">
        <v>1059</v>
      </c>
    </row>
    <row r="4" spans="1:2" x14ac:dyDescent="0.25">
      <c r="A4" s="3" t="s">
        <v>37</v>
      </c>
      <c r="B4" s="4">
        <v>181209.12849999999</v>
      </c>
    </row>
    <row r="5" spans="1:2" x14ac:dyDescent="0.25">
      <c r="A5" s="3" t="s">
        <v>65</v>
      </c>
      <c r="B5" s="4">
        <v>846678.38820000004</v>
      </c>
    </row>
    <row r="6" spans="1:2" x14ac:dyDescent="0.25">
      <c r="A6" s="3" t="s">
        <v>96</v>
      </c>
      <c r="B6" s="4">
        <v>244535.2052</v>
      </c>
    </row>
    <row r="7" spans="1:2" x14ac:dyDescent="0.25">
      <c r="A7" s="3" t="s">
        <v>1058</v>
      </c>
      <c r="B7" s="4">
        <v>424140.90730000002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F5A8-F50F-45B9-ABEF-9A6ACD23577E}">
  <dimension ref="A1:I1054"/>
  <sheetViews>
    <sheetView workbookViewId="0">
      <selection activeCell="E10" sqref="E10"/>
    </sheetView>
  </sheetViews>
  <sheetFormatPr defaultRowHeight="15" x14ac:dyDescent="0.25"/>
  <cols>
    <col min="1" max="1" width="14" customWidth="1"/>
    <col min="2" max="2" width="13.7109375" customWidth="1"/>
    <col min="3" max="3" width="14.5703125" customWidth="1"/>
    <col min="4" max="4" width="15.28515625" customWidth="1"/>
    <col min="5" max="5" width="25.5703125" customWidth="1"/>
    <col min="6" max="6" width="16.85546875" customWidth="1"/>
    <col min="7" max="7" width="15.28515625" customWidth="1"/>
    <col min="8" max="8" width="24.28515625" customWidth="1"/>
    <col min="9" max="9" width="1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1060</v>
      </c>
      <c r="F1" s="1" t="s">
        <v>1061</v>
      </c>
      <c r="G1" s="1" t="s">
        <v>1062</v>
      </c>
      <c r="H1" s="1" t="s">
        <v>1063</v>
      </c>
      <c r="I1" s="1"/>
    </row>
    <row r="2" spans="1:9" x14ac:dyDescent="0.25">
      <c r="A2" t="s">
        <v>4</v>
      </c>
      <c r="B2">
        <v>223937.96789999999</v>
      </c>
      <c r="C2">
        <v>230079.62100000001</v>
      </c>
      <c r="D2">
        <v>6827</v>
      </c>
      <c r="E2" s="5">
        <f>B2/D2</f>
        <v>32.801811615643764</v>
      </c>
      <c r="F2" s="5">
        <f xml:space="preserve"> B2-C2</f>
        <v>-6141.653100000025</v>
      </c>
      <c r="G2" s="5">
        <f>F2/100</f>
        <v>-61.416531000000248</v>
      </c>
      <c r="H2" s="5">
        <f>F2/D2</f>
        <v>-0.89961228943899585</v>
      </c>
    </row>
    <row r="3" spans="1:9" x14ac:dyDescent="0.25">
      <c r="A3" t="s">
        <v>5</v>
      </c>
      <c r="B3">
        <v>300345.48460000003</v>
      </c>
      <c r="C3">
        <v>306986.12050000002</v>
      </c>
      <c r="D3">
        <v>9268</v>
      </c>
      <c r="E3" s="5">
        <f t="shared" ref="E3:E66" si="0">B3/D3</f>
        <v>32.40672039274925</v>
      </c>
      <c r="F3" s="5">
        <f t="shared" ref="F3:F66" si="1" xml:space="preserve"> B3-C3</f>
        <v>-6640.6358999999939</v>
      </c>
      <c r="G3" s="5">
        <f t="shared" ref="G3:G66" si="2">F3/100</f>
        <v>-66.406358999999938</v>
      </c>
      <c r="H3" s="5">
        <f t="shared" ref="H3:H66" si="3">F3/D3</f>
        <v>-0.71651228959861823</v>
      </c>
    </row>
    <row r="4" spans="1:9" x14ac:dyDescent="0.25">
      <c r="A4" t="s">
        <v>6</v>
      </c>
      <c r="B4">
        <v>86782.467730000004</v>
      </c>
      <c r="C4">
        <v>87986.318209999998</v>
      </c>
      <c r="D4">
        <v>2678</v>
      </c>
      <c r="E4" s="5">
        <f t="shared" si="0"/>
        <v>32.405701168782677</v>
      </c>
      <c r="F4" s="5">
        <f t="shared" si="1"/>
        <v>-1203.8504799999937</v>
      </c>
      <c r="G4" s="5">
        <f t="shared" si="2"/>
        <v>-12.038504799999936</v>
      </c>
      <c r="H4" s="5">
        <f t="shared" si="3"/>
        <v>-0.44953341299476984</v>
      </c>
    </row>
    <row r="5" spans="1:9" x14ac:dyDescent="0.25">
      <c r="A5" t="s">
        <v>7</v>
      </c>
      <c r="B5">
        <v>200173.11679999999</v>
      </c>
      <c r="C5">
        <v>202881.1777</v>
      </c>
      <c r="D5">
        <v>6175</v>
      </c>
      <c r="E5" s="5">
        <f t="shared" si="0"/>
        <v>32.416699076923074</v>
      </c>
      <c r="F5" s="5">
        <f t="shared" si="1"/>
        <v>-2708.0609000000113</v>
      </c>
      <c r="G5" s="5">
        <f t="shared" si="2"/>
        <v>-27.080609000000113</v>
      </c>
      <c r="H5" s="5">
        <f t="shared" si="3"/>
        <v>-0.43855237246963746</v>
      </c>
    </row>
    <row r="6" spans="1:9" x14ac:dyDescent="0.25">
      <c r="A6" t="s">
        <v>8</v>
      </c>
      <c r="B6">
        <v>326906.07419999997</v>
      </c>
      <c r="C6">
        <v>333806.29190000001</v>
      </c>
      <c r="D6">
        <v>10084</v>
      </c>
      <c r="E6" s="5">
        <f t="shared" si="0"/>
        <v>32.418293752479173</v>
      </c>
      <c r="F6" s="5">
        <f t="shared" si="1"/>
        <v>-6900.2177000000374</v>
      </c>
      <c r="G6" s="5">
        <f t="shared" si="2"/>
        <v>-69.002177000000373</v>
      </c>
      <c r="H6" s="5">
        <f t="shared" si="3"/>
        <v>-0.68427386949623537</v>
      </c>
    </row>
    <row r="7" spans="1:9" x14ac:dyDescent="0.25">
      <c r="A7" t="s">
        <v>9</v>
      </c>
      <c r="B7">
        <v>307043.93540000002</v>
      </c>
      <c r="C7">
        <v>313652.34830000001</v>
      </c>
      <c r="D7">
        <v>9470</v>
      </c>
      <c r="E7" s="5">
        <f t="shared" si="0"/>
        <v>32.422802048574447</v>
      </c>
      <c r="F7" s="5">
        <f t="shared" si="1"/>
        <v>-6608.4128999999957</v>
      </c>
      <c r="G7" s="5">
        <f t="shared" si="2"/>
        <v>-66.084128999999962</v>
      </c>
      <c r="H7" s="5">
        <f t="shared" si="3"/>
        <v>-0.69782607180570178</v>
      </c>
    </row>
    <row r="8" spans="1:9" x14ac:dyDescent="0.25">
      <c r="A8" t="s">
        <v>10</v>
      </c>
      <c r="B8">
        <v>179188.88449999999</v>
      </c>
      <c r="C8">
        <v>183083.285</v>
      </c>
      <c r="D8">
        <v>5524</v>
      </c>
      <c r="E8" s="5">
        <f t="shared" si="0"/>
        <v>32.438248461259953</v>
      </c>
      <c r="F8" s="5">
        <f t="shared" si="1"/>
        <v>-3894.4005000000179</v>
      </c>
      <c r="G8" s="5">
        <f t="shared" si="2"/>
        <v>-38.944005000000182</v>
      </c>
      <c r="H8" s="5">
        <f t="shared" si="3"/>
        <v>-0.70499646994931531</v>
      </c>
    </row>
    <row r="9" spans="1:9" x14ac:dyDescent="0.25">
      <c r="A9" t="s">
        <v>11</v>
      </c>
      <c r="B9">
        <v>306351.9509</v>
      </c>
      <c r="C9">
        <v>313446.06809999997</v>
      </c>
      <c r="D9">
        <v>9448</v>
      </c>
      <c r="E9" s="5">
        <f t="shared" si="0"/>
        <v>32.42505830863675</v>
      </c>
      <c r="F9" s="5">
        <f t="shared" si="1"/>
        <v>-7094.1171999999788</v>
      </c>
      <c r="G9" s="5">
        <f t="shared" si="2"/>
        <v>-70.941171999999781</v>
      </c>
      <c r="H9" s="5">
        <f t="shared" si="3"/>
        <v>-0.75085914479254645</v>
      </c>
    </row>
    <row r="10" spans="1:9" x14ac:dyDescent="0.25">
      <c r="A10" t="s">
        <v>12</v>
      </c>
      <c r="B10">
        <v>224020.41</v>
      </c>
      <c r="C10">
        <v>229533.9737</v>
      </c>
      <c r="D10">
        <v>6911</v>
      </c>
      <c r="E10" s="5">
        <f t="shared" si="0"/>
        <v>32.415049920416728</v>
      </c>
      <c r="F10" s="5">
        <f t="shared" si="1"/>
        <v>-5513.5636999999988</v>
      </c>
      <c r="G10" s="5">
        <f t="shared" si="2"/>
        <v>-55.135636999999988</v>
      </c>
      <c r="H10" s="5">
        <f t="shared" si="3"/>
        <v>-0.79779535523079137</v>
      </c>
    </row>
    <row r="11" spans="1:9" x14ac:dyDescent="0.25">
      <c r="A11" t="s">
        <v>13</v>
      </c>
      <c r="B11">
        <v>101836.4022</v>
      </c>
      <c r="C11">
        <v>99381.967520000006</v>
      </c>
      <c r="D11">
        <v>2990</v>
      </c>
      <c r="E11" s="5">
        <f t="shared" si="0"/>
        <v>34.058997391304345</v>
      </c>
      <c r="F11" s="5">
        <f t="shared" si="1"/>
        <v>2454.4346799999912</v>
      </c>
      <c r="G11" s="5">
        <f t="shared" si="2"/>
        <v>24.544346799999911</v>
      </c>
      <c r="H11" s="5">
        <f t="shared" si="3"/>
        <v>0.82088116387959575</v>
      </c>
    </row>
    <row r="12" spans="1:9" x14ac:dyDescent="0.25">
      <c r="A12" t="s">
        <v>14</v>
      </c>
      <c r="B12">
        <v>107804.3049</v>
      </c>
      <c r="C12">
        <v>104816.45849999999</v>
      </c>
      <c r="D12">
        <v>3159</v>
      </c>
      <c r="E12" s="5">
        <f t="shared" si="0"/>
        <v>34.126085754985759</v>
      </c>
      <c r="F12" s="5">
        <f t="shared" si="1"/>
        <v>2987.8464000000095</v>
      </c>
      <c r="G12" s="5">
        <f t="shared" si="2"/>
        <v>29.878464000000093</v>
      </c>
      <c r="H12" s="5">
        <f t="shared" si="3"/>
        <v>0.94582032288699258</v>
      </c>
    </row>
    <row r="13" spans="1:9" x14ac:dyDescent="0.25">
      <c r="A13" t="s">
        <v>15</v>
      </c>
      <c r="B13">
        <v>144829.95670000001</v>
      </c>
      <c r="C13">
        <v>141333.9963</v>
      </c>
      <c r="D13">
        <v>4246</v>
      </c>
      <c r="E13" s="5">
        <f t="shared" si="0"/>
        <v>34.10974015544042</v>
      </c>
      <c r="F13" s="5">
        <f t="shared" si="1"/>
        <v>3495.9604000000108</v>
      </c>
      <c r="G13" s="5">
        <f t="shared" si="2"/>
        <v>34.959604000000105</v>
      </c>
      <c r="H13" s="5">
        <f t="shared" si="3"/>
        <v>0.82335383890720937</v>
      </c>
    </row>
    <row r="14" spans="1:9" x14ac:dyDescent="0.25">
      <c r="A14" t="s">
        <v>16</v>
      </c>
      <c r="B14">
        <v>146571.48240000001</v>
      </c>
      <c r="C14">
        <v>143179.67000000001</v>
      </c>
      <c r="D14">
        <v>4297</v>
      </c>
      <c r="E14" s="5">
        <f t="shared" si="0"/>
        <v>34.110189062136378</v>
      </c>
      <c r="F14" s="5">
        <f t="shared" si="1"/>
        <v>3391.8123999999953</v>
      </c>
      <c r="G14" s="5">
        <f t="shared" si="2"/>
        <v>33.918123999999949</v>
      </c>
      <c r="H14" s="5">
        <f t="shared" si="3"/>
        <v>0.78934428671165824</v>
      </c>
    </row>
    <row r="15" spans="1:9" x14ac:dyDescent="0.25">
      <c r="A15" t="s">
        <v>17</v>
      </c>
      <c r="B15">
        <v>95422.37298</v>
      </c>
      <c r="C15">
        <v>93126.147240000006</v>
      </c>
      <c r="D15">
        <v>2796</v>
      </c>
      <c r="E15" s="5">
        <f t="shared" si="0"/>
        <v>34.12817345493562</v>
      </c>
      <c r="F15" s="5">
        <f t="shared" si="1"/>
        <v>2296.2257399999944</v>
      </c>
      <c r="G15" s="5">
        <f t="shared" si="2"/>
        <v>22.962257399999945</v>
      </c>
      <c r="H15" s="5">
        <f t="shared" si="3"/>
        <v>0.82125384120171474</v>
      </c>
    </row>
    <row r="16" spans="1:9" x14ac:dyDescent="0.25">
      <c r="A16" t="s">
        <v>18</v>
      </c>
      <c r="B16">
        <v>114883.1738</v>
      </c>
      <c r="C16">
        <v>112186.30869999999</v>
      </c>
      <c r="D16">
        <v>3369</v>
      </c>
      <c r="E16" s="5">
        <f t="shared" si="0"/>
        <v>34.100081270406648</v>
      </c>
      <c r="F16" s="5">
        <f t="shared" si="1"/>
        <v>2696.86510000001</v>
      </c>
      <c r="G16" s="5">
        <f t="shared" si="2"/>
        <v>26.968651000000101</v>
      </c>
      <c r="H16" s="5">
        <f t="shared" si="3"/>
        <v>0.80049424161472549</v>
      </c>
    </row>
    <row r="17" spans="1:8" x14ac:dyDescent="0.25">
      <c r="A17" t="s">
        <v>19</v>
      </c>
      <c r="B17">
        <v>80090.800080000001</v>
      </c>
      <c r="C17">
        <v>78096.760179999997</v>
      </c>
      <c r="D17">
        <v>2348</v>
      </c>
      <c r="E17" s="5">
        <f t="shared" si="0"/>
        <v>34.11022149914821</v>
      </c>
      <c r="F17" s="5">
        <f t="shared" si="1"/>
        <v>1994.0399000000034</v>
      </c>
      <c r="G17" s="5">
        <f t="shared" si="2"/>
        <v>19.940399000000035</v>
      </c>
      <c r="H17" s="5">
        <f t="shared" si="3"/>
        <v>0.84925038330494185</v>
      </c>
    </row>
    <row r="18" spans="1:8" x14ac:dyDescent="0.25">
      <c r="A18" t="s">
        <v>20</v>
      </c>
      <c r="B18">
        <v>98945.371159999995</v>
      </c>
      <c r="C18">
        <v>97159.002590000004</v>
      </c>
      <c r="D18">
        <v>2903</v>
      </c>
      <c r="E18" s="5">
        <f t="shared" si="0"/>
        <v>34.083834364450567</v>
      </c>
      <c r="F18" s="5">
        <f t="shared" si="1"/>
        <v>1786.3685699999915</v>
      </c>
      <c r="G18" s="5">
        <f t="shared" si="2"/>
        <v>17.863685699999916</v>
      </c>
      <c r="H18" s="5">
        <f t="shared" si="3"/>
        <v>0.61535259042369672</v>
      </c>
    </row>
    <row r="19" spans="1:8" x14ac:dyDescent="0.25">
      <c r="A19" t="s">
        <v>21</v>
      </c>
      <c r="B19">
        <v>84904.901710000006</v>
      </c>
      <c r="C19">
        <v>83350.43316</v>
      </c>
      <c r="D19">
        <v>2491</v>
      </c>
      <c r="E19" s="5">
        <f t="shared" si="0"/>
        <v>34.084665479727022</v>
      </c>
      <c r="F19" s="5">
        <f t="shared" si="1"/>
        <v>1554.4685500000051</v>
      </c>
      <c r="G19" s="5">
        <f t="shared" si="2"/>
        <v>15.54468550000005</v>
      </c>
      <c r="H19" s="5">
        <f t="shared" si="3"/>
        <v>0.62403394219189279</v>
      </c>
    </row>
    <row r="20" spans="1:8" x14ac:dyDescent="0.25">
      <c r="A20" t="s">
        <v>22</v>
      </c>
      <c r="B20">
        <v>135460.61970000001</v>
      </c>
      <c r="C20">
        <v>132703.33540000001</v>
      </c>
      <c r="D20">
        <v>3968</v>
      </c>
      <c r="E20" s="5">
        <f t="shared" si="0"/>
        <v>34.138261013104838</v>
      </c>
      <c r="F20" s="5">
        <f t="shared" si="1"/>
        <v>2757.2842999999993</v>
      </c>
      <c r="G20" s="5">
        <f t="shared" si="2"/>
        <v>27.572842999999992</v>
      </c>
      <c r="H20" s="5">
        <f t="shared" si="3"/>
        <v>0.69488011592741916</v>
      </c>
    </row>
    <row r="21" spans="1:8" x14ac:dyDescent="0.25">
      <c r="A21" t="s">
        <v>23</v>
      </c>
      <c r="B21">
        <v>149925.74969999999</v>
      </c>
      <c r="C21">
        <v>146928.4118</v>
      </c>
      <c r="D21">
        <v>4393</v>
      </c>
      <c r="E21" s="5">
        <f t="shared" si="0"/>
        <v>34.128329091736852</v>
      </c>
      <c r="F21" s="5">
        <f t="shared" si="1"/>
        <v>2997.3378999999841</v>
      </c>
      <c r="G21" s="5">
        <f t="shared" si="2"/>
        <v>29.973378999999841</v>
      </c>
      <c r="H21" s="5">
        <f t="shared" si="3"/>
        <v>0.68229863419075443</v>
      </c>
    </row>
    <row r="22" spans="1:8" x14ac:dyDescent="0.25">
      <c r="A22" t="s">
        <v>24</v>
      </c>
      <c r="B22">
        <v>74297.307180000003</v>
      </c>
      <c r="C22">
        <v>72782.284320000006</v>
      </c>
      <c r="D22">
        <v>2176</v>
      </c>
      <c r="E22" s="5">
        <f t="shared" si="0"/>
        <v>34.143983079044119</v>
      </c>
      <c r="F22" s="5">
        <f t="shared" si="1"/>
        <v>1515.0228599999973</v>
      </c>
      <c r="G22" s="5">
        <f t="shared" si="2"/>
        <v>15.150228599999974</v>
      </c>
      <c r="H22" s="5">
        <f t="shared" si="3"/>
        <v>0.69624212316176348</v>
      </c>
    </row>
    <row r="23" spans="1:8" x14ac:dyDescent="0.25">
      <c r="A23" t="s">
        <v>25</v>
      </c>
      <c r="B23">
        <v>83356.424559999999</v>
      </c>
      <c r="C23">
        <v>81789.136119999996</v>
      </c>
      <c r="D23">
        <v>2443</v>
      </c>
      <c r="E23" s="5">
        <f t="shared" si="0"/>
        <v>34.12051762586983</v>
      </c>
      <c r="F23" s="5">
        <f t="shared" si="1"/>
        <v>1567.2884400000039</v>
      </c>
      <c r="G23" s="5">
        <f t="shared" si="2"/>
        <v>15.672884400000038</v>
      </c>
      <c r="H23" s="5">
        <f t="shared" si="3"/>
        <v>0.64154254604994021</v>
      </c>
    </row>
    <row r="24" spans="1:8" x14ac:dyDescent="0.25">
      <c r="A24" t="s">
        <v>26</v>
      </c>
      <c r="B24">
        <v>89922.014290000006</v>
      </c>
      <c r="C24">
        <v>88388.916070000007</v>
      </c>
      <c r="D24">
        <v>2638</v>
      </c>
      <c r="E24" s="5">
        <f t="shared" si="0"/>
        <v>34.087192680060653</v>
      </c>
      <c r="F24" s="5">
        <f t="shared" si="1"/>
        <v>1533.0982199999999</v>
      </c>
      <c r="G24" s="5">
        <f t="shared" si="2"/>
        <v>15.330982199999999</v>
      </c>
      <c r="H24" s="5">
        <f t="shared" si="3"/>
        <v>0.5811592949203942</v>
      </c>
    </row>
    <row r="25" spans="1:8" x14ac:dyDescent="0.25">
      <c r="A25" t="s">
        <v>27</v>
      </c>
      <c r="B25">
        <v>57806.302779999998</v>
      </c>
      <c r="C25">
        <v>57157.28254</v>
      </c>
      <c r="D25">
        <v>1704</v>
      </c>
      <c r="E25" s="5">
        <f t="shared" si="0"/>
        <v>33.923886607981217</v>
      </c>
      <c r="F25" s="5">
        <f t="shared" si="1"/>
        <v>649.02023999999801</v>
      </c>
      <c r="G25" s="5">
        <f t="shared" si="2"/>
        <v>6.4902023999999798</v>
      </c>
      <c r="H25" s="5">
        <f t="shared" si="3"/>
        <v>0.38088042253521009</v>
      </c>
    </row>
    <row r="26" spans="1:8" x14ac:dyDescent="0.25">
      <c r="A26" t="s">
        <v>28</v>
      </c>
      <c r="B26">
        <v>63977.750350000002</v>
      </c>
      <c r="C26">
        <v>62863.987240000002</v>
      </c>
      <c r="D26">
        <v>1872</v>
      </c>
      <c r="E26" s="5">
        <f t="shared" si="0"/>
        <v>34.17614869123932</v>
      </c>
      <c r="F26" s="5">
        <f t="shared" si="1"/>
        <v>1113.7631099999999</v>
      </c>
      <c r="G26" s="5">
        <f t="shared" si="2"/>
        <v>11.137631099999998</v>
      </c>
      <c r="H26" s="5">
        <f t="shared" si="3"/>
        <v>0.59495892628205116</v>
      </c>
    </row>
    <row r="27" spans="1:8" x14ac:dyDescent="0.25">
      <c r="A27" t="s">
        <v>29</v>
      </c>
      <c r="B27">
        <v>116958.79979999999</v>
      </c>
      <c r="C27">
        <v>114823.79519999999</v>
      </c>
      <c r="D27">
        <v>3423</v>
      </c>
      <c r="E27" s="5">
        <f t="shared" si="0"/>
        <v>34.168507099035935</v>
      </c>
      <c r="F27" s="5">
        <f t="shared" si="1"/>
        <v>2135.0046000000002</v>
      </c>
      <c r="G27" s="5">
        <f t="shared" si="2"/>
        <v>21.350046000000003</v>
      </c>
      <c r="H27" s="5">
        <f t="shared" si="3"/>
        <v>0.62372322524101675</v>
      </c>
    </row>
    <row r="28" spans="1:8" x14ac:dyDescent="0.25">
      <c r="A28" t="s">
        <v>30</v>
      </c>
      <c r="B28">
        <v>155272.8248</v>
      </c>
      <c r="C28">
        <v>152636.27660000001</v>
      </c>
      <c r="D28">
        <v>4544</v>
      </c>
      <c r="E28" s="5">
        <f t="shared" si="0"/>
        <v>34.17095616197183</v>
      </c>
      <c r="F28" s="5">
        <f t="shared" si="1"/>
        <v>2636.5481999999902</v>
      </c>
      <c r="G28" s="5">
        <f t="shared" si="2"/>
        <v>26.365481999999901</v>
      </c>
      <c r="H28" s="5">
        <f t="shared" si="3"/>
        <v>0.58022627640844859</v>
      </c>
    </row>
    <row r="29" spans="1:8" x14ac:dyDescent="0.25">
      <c r="A29" t="s">
        <v>31</v>
      </c>
      <c r="B29">
        <v>82885.215909999999</v>
      </c>
      <c r="C29">
        <v>81583.166949999999</v>
      </c>
      <c r="D29">
        <v>2426</v>
      </c>
      <c r="E29" s="5">
        <f t="shared" si="0"/>
        <v>34.165381661170649</v>
      </c>
      <c r="F29" s="5">
        <f t="shared" si="1"/>
        <v>1302.0489600000001</v>
      </c>
      <c r="G29" s="5">
        <f t="shared" si="2"/>
        <v>13.020489600000001</v>
      </c>
      <c r="H29" s="5">
        <f t="shared" si="3"/>
        <v>0.53670608408903553</v>
      </c>
    </row>
    <row r="30" spans="1:8" x14ac:dyDescent="0.25">
      <c r="A30" t="s">
        <v>32</v>
      </c>
      <c r="B30">
        <v>72353.425879999995</v>
      </c>
      <c r="C30">
        <v>71377.156459999998</v>
      </c>
      <c r="D30">
        <v>2117</v>
      </c>
      <c r="E30" s="5">
        <f t="shared" si="0"/>
        <v>34.177338630136987</v>
      </c>
      <c r="F30" s="5">
        <f t="shared" si="1"/>
        <v>976.2694199999969</v>
      </c>
      <c r="G30" s="5">
        <f t="shared" si="2"/>
        <v>9.7626941999999683</v>
      </c>
      <c r="H30" s="5">
        <f t="shared" si="3"/>
        <v>0.46115702409069292</v>
      </c>
    </row>
    <row r="31" spans="1:8" x14ac:dyDescent="0.25">
      <c r="A31" t="s">
        <v>33</v>
      </c>
      <c r="B31">
        <v>50415.903760000001</v>
      </c>
      <c r="C31">
        <v>49769.098239999999</v>
      </c>
      <c r="D31">
        <v>1476</v>
      </c>
      <c r="E31" s="5">
        <f t="shared" si="0"/>
        <v>34.157116368563685</v>
      </c>
      <c r="F31" s="5">
        <f t="shared" si="1"/>
        <v>646.80552000000171</v>
      </c>
      <c r="G31" s="5">
        <f t="shared" si="2"/>
        <v>6.4680552000000171</v>
      </c>
      <c r="H31" s="5">
        <f t="shared" si="3"/>
        <v>0.43821512195122064</v>
      </c>
    </row>
    <row r="32" spans="1:8" x14ac:dyDescent="0.25">
      <c r="A32" t="s">
        <v>34</v>
      </c>
      <c r="B32">
        <v>67458.301890000002</v>
      </c>
      <c r="C32">
        <v>66529.441999999995</v>
      </c>
      <c r="D32">
        <v>1974</v>
      </c>
      <c r="E32" s="5">
        <f t="shared" si="0"/>
        <v>34.173405212765957</v>
      </c>
      <c r="F32" s="5">
        <f t="shared" si="1"/>
        <v>928.859890000007</v>
      </c>
      <c r="G32" s="5">
        <f t="shared" si="2"/>
        <v>9.2885989000000695</v>
      </c>
      <c r="H32" s="5">
        <f t="shared" si="3"/>
        <v>0.47054705673759217</v>
      </c>
    </row>
    <row r="33" spans="1:8" x14ac:dyDescent="0.25">
      <c r="A33" t="s">
        <v>35</v>
      </c>
      <c r="B33">
        <v>64640.369310000002</v>
      </c>
      <c r="C33">
        <v>63757.839870000003</v>
      </c>
      <c r="D33">
        <v>1892</v>
      </c>
      <c r="E33" s="5">
        <f t="shared" si="0"/>
        <v>34.165100058139537</v>
      </c>
      <c r="F33" s="5">
        <f t="shared" si="1"/>
        <v>882.52943999999843</v>
      </c>
      <c r="G33" s="5">
        <f t="shared" si="2"/>
        <v>8.8252943999999847</v>
      </c>
      <c r="H33" s="5">
        <f t="shared" si="3"/>
        <v>0.46645319238900551</v>
      </c>
    </row>
    <row r="34" spans="1:8" x14ac:dyDescent="0.25">
      <c r="A34" t="s">
        <v>36</v>
      </c>
      <c r="B34">
        <v>137693.87349999999</v>
      </c>
      <c r="C34">
        <v>135609.50760000001</v>
      </c>
      <c r="D34">
        <v>4030</v>
      </c>
      <c r="E34" s="5">
        <f t="shared" si="0"/>
        <v>34.167214267990069</v>
      </c>
      <c r="F34" s="5">
        <f t="shared" si="1"/>
        <v>2084.3658999999752</v>
      </c>
      <c r="G34" s="5">
        <f t="shared" si="2"/>
        <v>20.843658999999754</v>
      </c>
      <c r="H34" s="5">
        <f t="shared" si="3"/>
        <v>0.5172123821339889</v>
      </c>
    </row>
    <row r="35" spans="1:8" x14ac:dyDescent="0.25">
      <c r="A35" t="s">
        <v>37</v>
      </c>
      <c r="B35">
        <v>181209.12849999999</v>
      </c>
      <c r="C35">
        <v>178435.71530000001</v>
      </c>
      <c r="D35">
        <v>5304</v>
      </c>
      <c r="E35" s="5">
        <f t="shared" si="0"/>
        <v>34.164616987179485</v>
      </c>
      <c r="F35" s="5">
        <f t="shared" si="1"/>
        <v>2773.4131999999809</v>
      </c>
      <c r="G35" s="5">
        <f t="shared" si="2"/>
        <v>27.734131999999807</v>
      </c>
      <c r="H35" s="5">
        <f t="shared" si="3"/>
        <v>0.52289087481145946</v>
      </c>
    </row>
    <row r="36" spans="1:8" x14ac:dyDescent="0.25">
      <c r="A36" t="s">
        <v>38</v>
      </c>
      <c r="B36">
        <v>113433.58100000001</v>
      </c>
      <c r="C36">
        <v>111466.5168</v>
      </c>
      <c r="D36">
        <v>3320</v>
      </c>
      <c r="E36" s="5">
        <f t="shared" si="0"/>
        <v>34.166741265060246</v>
      </c>
      <c r="F36" s="5">
        <f t="shared" si="1"/>
        <v>1967.064200000008</v>
      </c>
      <c r="G36" s="5">
        <f t="shared" si="2"/>
        <v>19.670642000000079</v>
      </c>
      <c r="H36" s="5">
        <f t="shared" si="3"/>
        <v>0.59248921686747225</v>
      </c>
    </row>
    <row r="37" spans="1:8" x14ac:dyDescent="0.25">
      <c r="A37" t="s">
        <v>39</v>
      </c>
      <c r="B37">
        <v>143192.53339999999</v>
      </c>
      <c r="C37">
        <v>140505.6347</v>
      </c>
      <c r="D37">
        <v>4191</v>
      </c>
      <c r="E37" s="5">
        <f t="shared" si="0"/>
        <v>34.166674636125023</v>
      </c>
      <c r="F37" s="5">
        <f t="shared" si="1"/>
        <v>2686.8986999999906</v>
      </c>
      <c r="G37" s="5">
        <f t="shared" si="2"/>
        <v>26.868986999999905</v>
      </c>
      <c r="H37" s="5">
        <f t="shared" si="3"/>
        <v>0.64111159627773573</v>
      </c>
    </row>
    <row r="38" spans="1:8" x14ac:dyDescent="0.25">
      <c r="A38" t="s">
        <v>40</v>
      </c>
      <c r="B38">
        <v>130126.6499</v>
      </c>
      <c r="C38">
        <v>128496.2877</v>
      </c>
      <c r="D38">
        <v>3809</v>
      </c>
      <c r="E38" s="5">
        <f t="shared" si="0"/>
        <v>34.16294300341297</v>
      </c>
      <c r="F38" s="5">
        <f t="shared" si="1"/>
        <v>1630.3622000000032</v>
      </c>
      <c r="G38" s="5">
        <f t="shared" si="2"/>
        <v>16.303622000000033</v>
      </c>
      <c r="H38" s="5">
        <f t="shared" si="3"/>
        <v>0.42802893147807908</v>
      </c>
    </row>
    <row r="39" spans="1:8" x14ac:dyDescent="0.25">
      <c r="A39" t="s">
        <v>41</v>
      </c>
      <c r="B39">
        <v>187155.86850000001</v>
      </c>
      <c r="C39">
        <v>195078.60329999999</v>
      </c>
      <c r="D39">
        <v>5764</v>
      </c>
      <c r="E39" s="5">
        <f>B39/D39</f>
        <v>32.469789816099933</v>
      </c>
      <c r="F39" s="5">
        <f t="shared" si="1"/>
        <v>-7922.7347999999765</v>
      </c>
      <c r="G39" s="5">
        <f t="shared" si="2"/>
        <v>-79.227347999999765</v>
      </c>
      <c r="H39" s="5">
        <f t="shared" si="3"/>
        <v>-1.3745202637057559</v>
      </c>
    </row>
    <row r="40" spans="1:8" x14ac:dyDescent="0.25">
      <c r="A40" t="s">
        <v>42</v>
      </c>
      <c r="B40">
        <v>102314.7096</v>
      </c>
      <c r="C40">
        <v>101977.99</v>
      </c>
      <c r="D40">
        <v>3028</v>
      </c>
      <c r="E40" s="5">
        <f t="shared" si="0"/>
        <v>33.789534214002643</v>
      </c>
      <c r="F40" s="5">
        <f t="shared" si="1"/>
        <v>336.71959999999672</v>
      </c>
      <c r="G40" s="5">
        <f t="shared" si="2"/>
        <v>3.367195999999967</v>
      </c>
      <c r="H40" s="5">
        <f t="shared" si="3"/>
        <v>0.11120198150594343</v>
      </c>
    </row>
    <row r="41" spans="1:8" x14ac:dyDescent="0.25">
      <c r="A41" t="s">
        <v>43</v>
      </c>
      <c r="B41">
        <v>301553.84259999997</v>
      </c>
      <c r="C41">
        <v>313529.18770000001</v>
      </c>
      <c r="D41">
        <v>9284</v>
      </c>
      <c r="E41" s="5">
        <f t="shared" si="0"/>
        <v>32.481025700129251</v>
      </c>
      <c r="F41" s="5">
        <f t="shared" si="1"/>
        <v>-11975.345100000035</v>
      </c>
      <c r="G41" s="5">
        <f t="shared" si="2"/>
        <v>-119.75345100000035</v>
      </c>
      <c r="H41" s="5">
        <f t="shared" si="3"/>
        <v>-1.2898906828953076</v>
      </c>
    </row>
    <row r="42" spans="1:8" x14ac:dyDescent="0.25">
      <c r="A42" t="s">
        <v>44</v>
      </c>
      <c r="B42">
        <v>316073.17749999999</v>
      </c>
      <c r="C42">
        <v>329754.7795</v>
      </c>
      <c r="D42">
        <v>9737</v>
      </c>
      <c r="E42" s="5">
        <f t="shared" si="0"/>
        <v>32.461043185786174</v>
      </c>
      <c r="F42" s="5">
        <f t="shared" si="1"/>
        <v>-13681.602000000014</v>
      </c>
      <c r="G42" s="5">
        <f t="shared" si="2"/>
        <v>-136.81602000000012</v>
      </c>
      <c r="H42" s="5">
        <f t="shared" si="3"/>
        <v>-1.4051147170586438</v>
      </c>
    </row>
    <row r="43" spans="1:8" x14ac:dyDescent="0.25">
      <c r="A43" t="s">
        <v>45</v>
      </c>
      <c r="B43">
        <v>135178.04259999999</v>
      </c>
      <c r="C43">
        <v>141530.70869999999</v>
      </c>
      <c r="D43">
        <v>4163</v>
      </c>
      <c r="E43" s="5">
        <f t="shared" si="0"/>
        <v>32.471304972375684</v>
      </c>
      <c r="F43" s="5">
        <f t="shared" si="1"/>
        <v>-6352.6661000000022</v>
      </c>
      <c r="G43" s="5">
        <f t="shared" si="2"/>
        <v>-63.526661000000018</v>
      </c>
      <c r="H43" s="5">
        <f t="shared" si="3"/>
        <v>-1.5259827288013457</v>
      </c>
    </row>
    <row r="44" spans="1:8" x14ac:dyDescent="0.25">
      <c r="A44" t="s">
        <v>46</v>
      </c>
      <c r="B44">
        <v>147727.51620000001</v>
      </c>
      <c r="C44">
        <v>154828.68460000001</v>
      </c>
      <c r="D44">
        <v>4552</v>
      </c>
      <c r="E44" s="5">
        <f t="shared" si="0"/>
        <v>32.453320782073817</v>
      </c>
      <c r="F44" s="5">
        <f t="shared" si="1"/>
        <v>-7101.168399999995</v>
      </c>
      <c r="G44" s="5">
        <f t="shared" si="2"/>
        <v>-71.011683999999946</v>
      </c>
      <c r="H44" s="5">
        <f t="shared" si="3"/>
        <v>-1.5600106326889269</v>
      </c>
    </row>
    <row r="45" spans="1:8" x14ac:dyDescent="0.25">
      <c r="A45" t="s">
        <v>47</v>
      </c>
      <c r="B45">
        <v>135498.7464</v>
      </c>
      <c r="C45">
        <v>139824.16159999999</v>
      </c>
      <c r="D45">
        <v>4172</v>
      </c>
      <c r="E45" s="5">
        <f t="shared" si="0"/>
        <v>32.478127133269417</v>
      </c>
      <c r="F45" s="5">
        <f t="shared" si="1"/>
        <v>-4325.4151999999885</v>
      </c>
      <c r="G45" s="5">
        <f t="shared" si="2"/>
        <v>-43.254151999999884</v>
      </c>
      <c r="H45" s="5">
        <f t="shared" si="3"/>
        <v>-1.0367725790987508</v>
      </c>
    </row>
    <row r="46" spans="1:8" x14ac:dyDescent="0.25">
      <c r="A46" t="s">
        <v>48</v>
      </c>
      <c r="B46">
        <v>163432.84520000001</v>
      </c>
      <c r="C46">
        <v>166893.3689</v>
      </c>
      <c r="D46">
        <v>5037</v>
      </c>
      <c r="E46" s="5">
        <f t="shared" si="0"/>
        <v>32.446465197538217</v>
      </c>
      <c r="F46" s="5">
        <f t="shared" si="1"/>
        <v>-3460.5236999999906</v>
      </c>
      <c r="G46" s="5">
        <f t="shared" si="2"/>
        <v>-34.605236999999903</v>
      </c>
      <c r="H46" s="5">
        <f t="shared" si="3"/>
        <v>-0.68702078618224949</v>
      </c>
    </row>
    <row r="47" spans="1:8" x14ac:dyDescent="0.25">
      <c r="A47" t="s">
        <v>49</v>
      </c>
      <c r="B47">
        <v>138291.63329999999</v>
      </c>
      <c r="C47">
        <v>141027.4345</v>
      </c>
      <c r="D47">
        <v>4259</v>
      </c>
      <c r="E47" s="5">
        <f t="shared" si="0"/>
        <v>32.470446888941062</v>
      </c>
      <c r="F47" s="5">
        <f t="shared" si="1"/>
        <v>-2735.8012000000163</v>
      </c>
      <c r="G47" s="5">
        <f t="shared" si="2"/>
        <v>-27.358012000000162</v>
      </c>
      <c r="H47" s="5">
        <f t="shared" si="3"/>
        <v>-0.64235764263912098</v>
      </c>
    </row>
    <row r="48" spans="1:8" x14ac:dyDescent="0.25">
      <c r="A48" t="s">
        <v>50</v>
      </c>
      <c r="B48">
        <v>336901.37170000002</v>
      </c>
      <c r="C48">
        <v>343519.87550000002</v>
      </c>
      <c r="D48">
        <v>10381</v>
      </c>
      <c r="E48" s="5">
        <f t="shared" si="0"/>
        <v>32.453652991041331</v>
      </c>
      <c r="F48" s="5">
        <f t="shared" si="1"/>
        <v>-6618.5038000000059</v>
      </c>
      <c r="G48" s="5">
        <f t="shared" si="2"/>
        <v>-66.185038000000063</v>
      </c>
      <c r="H48" s="5">
        <f t="shared" si="3"/>
        <v>-0.63755936807629376</v>
      </c>
    </row>
    <row r="49" spans="1:8" x14ac:dyDescent="0.25">
      <c r="A49" t="s">
        <v>51</v>
      </c>
      <c r="B49">
        <v>367729.26819999999</v>
      </c>
      <c r="C49">
        <v>373973.59330000001</v>
      </c>
      <c r="D49">
        <v>11332</v>
      </c>
      <c r="E49" s="5">
        <f t="shared" si="0"/>
        <v>32.450517843275676</v>
      </c>
      <c r="F49" s="5">
        <f t="shared" si="1"/>
        <v>-6244.3251000000164</v>
      </c>
      <c r="G49" s="5">
        <f t="shared" si="2"/>
        <v>-62.443251000000167</v>
      </c>
      <c r="H49" s="5">
        <f t="shared" si="3"/>
        <v>-0.55103468937522204</v>
      </c>
    </row>
    <row r="50" spans="1:8" x14ac:dyDescent="0.25">
      <c r="A50" t="s">
        <v>52</v>
      </c>
      <c r="B50">
        <v>133913.8414</v>
      </c>
      <c r="C50">
        <v>136797.07740000001</v>
      </c>
      <c r="D50">
        <v>4127</v>
      </c>
      <c r="E50" s="5">
        <f t="shared" si="0"/>
        <v>32.448229076811245</v>
      </c>
      <c r="F50" s="5">
        <f t="shared" si="1"/>
        <v>-2883.2360000000044</v>
      </c>
      <c r="G50" s="5">
        <f t="shared" si="2"/>
        <v>-28.832360000000044</v>
      </c>
      <c r="H50" s="5">
        <f t="shared" si="3"/>
        <v>-0.69862757450932989</v>
      </c>
    </row>
    <row r="51" spans="1:8" x14ac:dyDescent="0.25">
      <c r="A51" t="s">
        <v>53</v>
      </c>
      <c r="B51">
        <v>150800.34700000001</v>
      </c>
      <c r="C51">
        <v>152887.10639999999</v>
      </c>
      <c r="D51">
        <v>4649</v>
      </c>
      <c r="E51" s="5">
        <f>B51/D51</f>
        <v>32.437157883415793</v>
      </c>
      <c r="F51" s="5">
        <f t="shared" si="1"/>
        <v>-2086.7593999999808</v>
      </c>
      <c r="G51" s="5">
        <f t="shared" si="2"/>
        <v>-20.867593999999809</v>
      </c>
      <c r="H51" s="5">
        <f t="shared" si="3"/>
        <v>-0.44886199182619507</v>
      </c>
    </row>
    <row r="52" spans="1:8" x14ac:dyDescent="0.25">
      <c r="A52" t="s">
        <v>54</v>
      </c>
      <c r="B52">
        <v>55591.930339999999</v>
      </c>
      <c r="C52">
        <v>53463.244209999997</v>
      </c>
      <c r="D52">
        <v>1627</v>
      </c>
      <c r="E52" s="5">
        <f t="shared" si="0"/>
        <v>34.168365298094649</v>
      </c>
      <c r="F52" s="5">
        <f t="shared" si="1"/>
        <v>2128.6861300000019</v>
      </c>
      <c r="G52" s="5">
        <f t="shared" si="2"/>
        <v>21.28686130000002</v>
      </c>
      <c r="H52" s="5">
        <f t="shared" si="3"/>
        <v>1.308350417947143</v>
      </c>
    </row>
    <row r="53" spans="1:8" x14ac:dyDescent="0.25">
      <c r="A53" t="s">
        <v>55</v>
      </c>
      <c r="B53">
        <v>106427.1918</v>
      </c>
      <c r="C53">
        <v>107736.44409999999</v>
      </c>
      <c r="D53">
        <v>3281</v>
      </c>
      <c r="E53" s="5">
        <f t="shared" si="0"/>
        <v>32.43742511429442</v>
      </c>
      <c r="F53" s="5">
        <f t="shared" si="1"/>
        <v>-1309.2522999999928</v>
      </c>
      <c r="G53" s="5">
        <f t="shared" si="2"/>
        <v>-13.092522999999929</v>
      </c>
      <c r="H53" s="5">
        <f t="shared" si="3"/>
        <v>-0.39904062785735839</v>
      </c>
    </row>
    <row r="54" spans="1:8" x14ac:dyDescent="0.25">
      <c r="A54" t="s">
        <v>56</v>
      </c>
      <c r="B54">
        <v>78940.55442</v>
      </c>
      <c r="C54">
        <v>75934.394820000001</v>
      </c>
      <c r="D54">
        <v>2310</v>
      </c>
      <c r="E54" s="5">
        <f t="shared" si="0"/>
        <v>34.173400181818181</v>
      </c>
      <c r="F54" s="5">
        <f t="shared" si="1"/>
        <v>3006.159599999999</v>
      </c>
      <c r="G54" s="5">
        <f t="shared" si="2"/>
        <v>30.061595999999991</v>
      </c>
      <c r="H54" s="5">
        <f t="shared" si="3"/>
        <v>1.3013677922077918</v>
      </c>
    </row>
    <row r="55" spans="1:8" x14ac:dyDescent="0.25">
      <c r="A55" t="s">
        <v>57</v>
      </c>
      <c r="B55">
        <v>317916.31790000002</v>
      </c>
      <c r="C55">
        <v>322089.78899999999</v>
      </c>
      <c r="D55">
        <v>9802</v>
      </c>
      <c r="E55" s="5">
        <f t="shared" si="0"/>
        <v>32.433821454805141</v>
      </c>
      <c r="F55" s="5">
        <f t="shared" si="1"/>
        <v>-4173.4710999999661</v>
      </c>
      <c r="G55" s="5">
        <f t="shared" si="2"/>
        <v>-41.734710999999663</v>
      </c>
      <c r="H55" s="5">
        <f t="shared" si="3"/>
        <v>-0.42577750459089636</v>
      </c>
    </row>
    <row r="56" spans="1:8" x14ac:dyDescent="0.25">
      <c r="A56" t="s">
        <v>58</v>
      </c>
      <c r="B56">
        <v>309217.87560000003</v>
      </c>
      <c r="C56">
        <v>320116.92430000001</v>
      </c>
      <c r="D56">
        <v>9772</v>
      </c>
      <c r="E56" s="5">
        <f t="shared" si="0"/>
        <v>31.643253745395008</v>
      </c>
      <c r="F56" s="5">
        <f t="shared" si="1"/>
        <v>-10899.048699999985</v>
      </c>
      <c r="G56" s="5">
        <f t="shared" si="2"/>
        <v>-108.99048699999985</v>
      </c>
      <c r="H56" s="5">
        <f t="shared" si="3"/>
        <v>-1.1153344965206697</v>
      </c>
    </row>
    <row r="57" spans="1:8" x14ac:dyDescent="0.25">
      <c r="A57" t="s">
        <v>59</v>
      </c>
      <c r="B57">
        <v>138491.54999999999</v>
      </c>
      <c r="C57">
        <v>140752.60159999999</v>
      </c>
      <c r="D57">
        <v>4270</v>
      </c>
      <c r="E57" s="5">
        <f t="shared" si="0"/>
        <v>32.433618266978918</v>
      </c>
      <c r="F57" s="5">
        <f t="shared" si="1"/>
        <v>-2261.0516000000061</v>
      </c>
      <c r="G57" s="5">
        <f t="shared" si="2"/>
        <v>-22.610516000000061</v>
      </c>
      <c r="H57" s="5">
        <f t="shared" si="3"/>
        <v>-0.52952028103044635</v>
      </c>
    </row>
    <row r="58" spans="1:8" x14ac:dyDescent="0.25">
      <c r="A58" t="s">
        <v>60</v>
      </c>
      <c r="B58">
        <v>133146.22219999999</v>
      </c>
      <c r="C58">
        <v>134505.40419999999</v>
      </c>
      <c r="D58">
        <v>4106</v>
      </c>
      <c r="E58" s="5">
        <f t="shared" si="0"/>
        <v>32.427233852898198</v>
      </c>
      <c r="F58" s="5">
        <f t="shared" si="1"/>
        <v>-1359.1820000000007</v>
      </c>
      <c r="G58" s="5">
        <f t="shared" si="2"/>
        <v>-13.591820000000007</v>
      </c>
      <c r="H58" s="5">
        <f t="shared" si="3"/>
        <v>-0.33102338041889934</v>
      </c>
    </row>
    <row r="59" spans="1:8" x14ac:dyDescent="0.25">
      <c r="A59" t="s">
        <v>61</v>
      </c>
      <c r="B59">
        <v>224994.6562</v>
      </c>
      <c r="C59">
        <v>227546.4466</v>
      </c>
      <c r="D59">
        <v>6937</v>
      </c>
      <c r="E59" s="5">
        <f t="shared" si="0"/>
        <v>32.433999740521841</v>
      </c>
      <c r="F59" s="5">
        <f t="shared" si="1"/>
        <v>-2551.790399999998</v>
      </c>
      <c r="G59" s="5">
        <f t="shared" si="2"/>
        <v>-25.51790399999998</v>
      </c>
      <c r="H59" s="5">
        <f t="shared" si="3"/>
        <v>-0.36785215511027791</v>
      </c>
    </row>
    <row r="60" spans="1:8" x14ac:dyDescent="0.25">
      <c r="A60" t="s">
        <v>62</v>
      </c>
      <c r="B60">
        <v>225051.59150000001</v>
      </c>
      <c r="C60">
        <v>228214.1421</v>
      </c>
      <c r="D60">
        <v>6934</v>
      </c>
      <c r="E60" s="5">
        <f t="shared" si="0"/>
        <v>32.456243366022498</v>
      </c>
      <c r="F60" s="5">
        <f t="shared" si="1"/>
        <v>-3162.5505999999878</v>
      </c>
      <c r="G60" s="5">
        <f t="shared" si="2"/>
        <v>-31.625505999999877</v>
      </c>
      <c r="H60" s="5">
        <f t="shared" si="3"/>
        <v>-0.45609325064897427</v>
      </c>
    </row>
    <row r="61" spans="1:8" x14ac:dyDescent="0.25">
      <c r="A61" t="s">
        <v>63</v>
      </c>
      <c r="B61">
        <v>344299.68239999999</v>
      </c>
      <c r="C61">
        <v>365935.65299999999</v>
      </c>
      <c r="D61">
        <v>11082</v>
      </c>
      <c r="E61" s="5">
        <f t="shared" si="0"/>
        <v>31.0683705468327</v>
      </c>
      <c r="F61" s="5">
        <f t="shared" si="1"/>
        <v>-21635.970600000001</v>
      </c>
      <c r="G61" s="5">
        <f t="shared" si="2"/>
        <v>-216.35970600000002</v>
      </c>
      <c r="H61" s="5">
        <f t="shared" si="3"/>
        <v>-1.9523525175961018</v>
      </c>
    </row>
    <row r="62" spans="1:8" x14ac:dyDescent="0.25">
      <c r="A62" t="s">
        <v>64</v>
      </c>
      <c r="B62">
        <v>661876.5</v>
      </c>
      <c r="C62">
        <v>686656.79099999997</v>
      </c>
      <c r="D62">
        <v>20805</v>
      </c>
      <c r="E62" s="5">
        <f t="shared" si="0"/>
        <v>31.813338139870222</v>
      </c>
      <c r="F62" s="5">
        <f t="shared" si="1"/>
        <v>-24780.290999999968</v>
      </c>
      <c r="G62" s="5">
        <f t="shared" si="2"/>
        <v>-247.80290999999968</v>
      </c>
      <c r="H62" s="5">
        <f t="shared" si="3"/>
        <v>-1.1910738284066316</v>
      </c>
    </row>
    <row r="63" spans="1:8" x14ac:dyDescent="0.25">
      <c r="A63" t="s">
        <v>65</v>
      </c>
      <c r="B63">
        <v>846678.38820000004</v>
      </c>
      <c r="C63">
        <v>872081.58499999996</v>
      </c>
      <c r="D63">
        <v>26410</v>
      </c>
      <c r="E63" s="5">
        <f>B63/D63</f>
        <v>32.05900750473306</v>
      </c>
      <c r="F63" s="5">
        <f t="shared" si="1"/>
        <v>-25403.196799999918</v>
      </c>
      <c r="G63" s="5">
        <f t="shared" si="2"/>
        <v>-254.03196799999918</v>
      </c>
      <c r="H63" s="5">
        <f t="shared" si="3"/>
        <v>-0.96187795531995146</v>
      </c>
    </row>
    <row r="64" spans="1:8" x14ac:dyDescent="0.25">
      <c r="A64" t="s">
        <v>66</v>
      </c>
      <c r="B64">
        <v>478902.30489999999</v>
      </c>
      <c r="C64">
        <v>495554.44990000001</v>
      </c>
      <c r="D64">
        <v>15004</v>
      </c>
      <c r="E64" s="5">
        <f t="shared" si="0"/>
        <v>31.918308777659291</v>
      </c>
      <c r="F64" s="5">
        <f t="shared" si="1"/>
        <v>-16652.145000000019</v>
      </c>
      <c r="G64" s="5">
        <f t="shared" si="2"/>
        <v>-166.52145000000019</v>
      </c>
      <c r="H64" s="5">
        <f t="shared" si="3"/>
        <v>-1.1098470407891241</v>
      </c>
    </row>
    <row r="65" spans="1:8" x14ac:dyDescent="0.25">
      <c r="A65" t="s">
        <v>67</v>
      </c>
      <c r="B65">
        <v>538827.20209999999</v>
      </c>
      <c r="C65">
        <v>557567.13699999999</v>
      </c>
      <c r="D65">
        <v>16884</v>
      </c>
      <c r="E65" s="5">
        <f t="shared" si="0"/>
        <v>31.913480342335941</v>
      </c>
      <c r="F65" s="5">
        <f t="shared" si="1"/>
        <v>-18739.934899999993</v>
      </c>
      <c r="G65" s="5">
        <f t="shared" si="2"/>
        <v>-187.39934899999992</v>
      </c>
      <c r="H65" s="5">
        <f t="shared" si="3"/>
        <v>-1.1099227019663582</v>
      </c>
    </row>
    <row r="66" spans="1:8" x14ac:dyDescent="0.25">
      <c r="A66" t="s">
        <v>68</v>
      </c>
      <c r="B66">
        <v>310346.1213</v>
      </c>
      <c r="C66">
        <v>323325.02990000002</v>
      </c>
      <c r="D66">
        <v>9789</v>
      </c>
      <c r="E66" s="5">
        <f t="shared" si="0"/>
        <v>31.703557186638061</v>
      </c>
      <c r="F66" s="5">
        <f t="shared" si="1"/>
        <v>-12978.908600000024</v>
      </c>
      <c r="G66" s="5">
        <f t="shared" si="2"/>
        <v>-129.78908600000025</v>
      </c>
      <c r="H66" s="5">
        <f t="shared" si="3"/>
        <v>-1.325866646235573</v>
      </c>
    </row>
    <row r="67" spans="1:8" x14ac:dyDescent="0.25">
      <c r="A67" t="s">
        <v>69</v>
      </c>
      <c r="B67">
        <v>256390.52220000001</v>
      </c>
      <c r="C67">
        <v>267308.50709999999</v>
      </c>
      <c r="D67">
        <v>8079</v>
      </c>
      <c r="E67" s="5">
        <f t="shared" ref="E67:E130" si="4">B67/D67</f>
        <v>31.73542792424805</v>
      </c>
      <c r="F67" s="5">
        <f t="shared" ref="F67:F130" si="5" xml:space="preserve"> B67-C67</f>
        <v>-10917.984899999981</v>
      </c>
      <c r="G67" s="5">
        <f t="shared" ref="G67:G130" si="6">F67/100</f>
        <v>-109.17984899999982</v>
      </c>
      <c r="H67" s="5">
        <f t="shared" ref="H67:H130" si="7">F67/D67</f>
        <v>-1.3514030077979924</v>
      </c>
    </row>
    <row r="68" spans="1:8" x14ac:dyDescent="0.25">
      <c r="A68" t="s">
        <v>70</v>
      </c>
      <c r="B68">
        <v>167803.65979999999</v>
      </c>
      <c r="C68">
        <v>168135.69</v>
      </c>
      <c r="D68">
        <v>5072</v>
      </c>
      <c r="E68" s="5">
        <f t="shared" si="4"/>
        <v>33.084317783911672</v>
      </c>
      <c r="F68" s="5">
        <f t="shared" si="5"/>
        <v>-332.03020000000834</v>
      </c>
      <c r="G68" s="5">
        <f t="shared" si="6"/>
        <v>-3.3203020000000834</v>
      </c>
      <c r="H68" s="5">
        <f t="shared" si="7"/>
        <v>-6.5463367507888073E-2</v>
      </c>
    </row>
    <row r="69" spans="1:8" x14ac:dyDescent="0.25">
      <c r="A69" t="s">
        <v>71</v>
      </c>
      <c r="B69">
        <v>465318.02149999997</v>
      </c>
      <c r="C69">
        <v>483774.59669999999</v>
      </c>
      <c r="D69">
        <v>14551</v>
      </c>
      <c r="E69" s="5">
        <f t="shared" si="4"/>
        <v>31.978422204659473</v>
      </c>
      <c r="F69" s="5">
        <f t="shared" si="5"/>
        <v>-18456.575200000021</v>
      </c>
      <c r="G69" s="5">
        <f t="shared" si="6"/>
        <v>-184.5657520000002</v>
      </c>
      <c r="H69" s="5">
        <f t="shared" si="7"/>
        <v>-1.2684059652257591</v>
      </c>
    </row>
    <row r="70" spans="1:8" x14ac:dyDescent="0.25">
      <c r="A70" t="s">
        <v>72</v>
      </c>
      <c r="B70">
        <v>520146.74959999998</v>
      </c>
      <c r="C70">
        <v>541498.95819999999</v>
      </c>
      <c r="D70">
        <v>16262</v>
      </c>
      <c r="E70" s="5">
        <f t="shared" si="4"/>
        <v>31.985410748985363</v>
      </c>
      <c r="F70" s="5">
        <f t="shared" si="5"/>
        <v>-21352.208600000013</v>
      </c>
      <c r="G70" s="5">
        <f t="shared" si="6"/>
        <v>-213.52208600000012</v>
      </c>
      <c r="H70" s="5">
        <f t="shared" si="7"/>
        <v>-1.3130124584921912</v>
      </c>
    </row>
    <row r="71" spans="1:8" x14ac:dyDescent="0.25">
      <c r="A71" t="s">
        <v>73</v>
      </c>
      <c r="B71">
        <v>224699.25279999999</v>
      </c>
      <c r="C71">
        <v>233589.98300000001</v>
      </c>
      <c r="D71">
        <v>7014</v>
      </c>
      <c r="E71" s="5">
        <f t="shared" si="4"/>
        <v>32.035821613915026</v>
      </c>
      <c r="F71" s="5">
        <f t="shared" si="5"/>
        <v>-8890.73020000002</v>
      </c>
      <c r="G71" s="5">
        <f t="shared" si="6"/>
        <v>-88.9073020000002</v>
      </c>
      <c r="H71" s="5">
        <f t="shared" si="7"/>
        <v>-1.2675691759338494</v>
      </c>
    </row>
    <row r="72" spans="1:8" x14ac:dyDescent="0.25">
      <c r="A72" t="s">
        <v>74</v>
      </c>
      <c r="B72">
        <v>286230.6789</v>
      </c>
      <c r="C72">
        <v>297642.89140000002</v>
      </c>
      <c r="D72">
        <v>8932</v>
      </c>
      <c r="E72" s="5">
        <f t="shared" si="4"/>
        <v>32.045530553067621</v>
      </c>
      <c r="F72" s="5">
        <f t="shared" si="5"/>
        <v>-11412.212500000023</v>
      </c>
      <c r="G72" s="5">
        <f t="shared" si="6"/>
        <v>-114.12212500000024</v>
      </c>
      <c r="H72" s="5">
        <f t="shared" si="7"/>
        <v>-1.2776771719659676</v>
      </c>
    </row>
    <row r="73" spans="1:8" x14ac:dyDescent="0.25">
      <c r="A73" t="s">
        <v>75</v>
      </c>
      <c r="B73">
        <v>187143.01809999999</v>
      </c>
      <c r="C73">
        <v>191499.0428</v>
      </c>
      <c r="D73">
        <v>5737</v>
      </c>
      <c r="E73" s="5">
        <f t="shared" si="4"/>
        <v>32.62036222764511</v>
      </c>
      <c r="F73" s="5">
        <f t="shared" si="5"/>
        <v>-4356.024700000009</v>
      </c>
      <c r="G73" s="5">
        <f t="shared" si="6"/>
        <v>-43.560247000000089</v>
      </c>
      <c r="H73" s="5">
        <f t="shared" si="7"/>
        <v>-0.75928616001394611</v>
      </c>
    </row>
    <row r="74" spans="1:8" x14ac:dyDescent="0.25">
      <c r="A74" t="s">
        <v>76</v>
      </c>
      <c r="B74">
        <v>191700.3891</v>
      </c>
      <c r="C74">
        <v>197153.424</v>
      </c>
      <c r="D74">
        <v>5903</v>
      </c>
      <c r="E74" s="5">
        <f t="shared" si="4"/>
        <v>32.475078621040147</v>
      </c>
      <c r="F74" s="5">
        <f t="shared" si="5"/>
        <v>-5453.0348999999987</v>
      </c>
      <c r="G74" s="5">
        <f t="shared" si="6"/>
        <v>-54.530348999999987</v>
      </c>
      <c r="H74" s="5">
        <f t="shared" si="7"/>
        <v>-0.92377348805691994</v>
      </c>
    </row>
    <row r="75" spans="1:8" x14ac:dyDescent="0.25">
      <c r="A75" t="s">
        <v>77</v>
      </c>
      <c r="B75">
        <v>164663.9676</v>
      </c>
      <c r="C75">
        <v>168975.174</v>
      </c>
      <c r="D75">
        <v>5056</v>
      </c>
      <c r="E75" s="5">
        <f t="shared" si="4"/>
        <v>32.568031566455694</v>
      </c>
      <c r="F75" s="5">
        <f t="shared" si="5"/>
        <v>-4311.2063999999955</v>
      </c>
      <c r="G75" s="5">
        <f t="shared" si="6"/>
        <v>-43.112063999999954</v>
      </c>
      <c r="H75" s="5">
        <f t="shared" si="7"/>
        <v>-0.85269113924050544</v>
      </c>
    </row>
    <row r="76" spans="1:8" x14ac:dyDescent="0.25">
      <c r="A76" t="s">
        <v>78</v>
      </c>
      <c r="B76">
        <v>395941.34509999998</v>
      </c>
      <c r="C76">
        <v>406765.91399999999</v>
      </c>
      <c r="D76">
        <v>12167</v>
      </c>
      <c r="E76" s="5">
        <f t="shared" si="4"/>
        <v>32.542232686775705</v>
      </c>
      <c r="F76" s="5">
        <f t="shared" si="5"/>
        <v>-10824.568900000013</v>
      </c>
      <c r="G76" s="5">
        <f t="shared" si="6"/>
        <v>-108.24568900000013</v>
      </c>
      <c r="H76" s="5">
        <f t="shared" si="7"/>
        <v>-0.88966622010355989</v>
      </c>
    </row>
    <row r="77" spans="1:8" x14ac:dyDescent="0.25">
      <c r="A77" t="s">
        <v>79</v>
      </c>
      <c r="B77">
        <v>518183.21039999998</v>
      </c>
      <c r="C77">
        <v>534383.14309999999</v>
      </c>
      <c r="D77">
        <v>15971</v>
      </c>
      <c r="E77" s="5">
        <f t="shared" si="4"/>
        <v>32.44525767954417</v>
      </c>
      <c r="F77" s="5">
        <f t="shared" si="5"/>
        <v>-16199.932700000005</v>
      </c>
      <c r="G77" s="5">
        <f t="shared" si="6"/>
        <v>-161.99932700000005</v>
      </c>
      <c r="H77" s="5">
        <f t="shared" si="7"/>
        <v>-1.0143342746227539</v>
      </c>
    </row>
    <row r="78" spans="1:8" x14ac:dyDescent="0.25">
      <c r="A78" t="s">
        <v>80</v>
      </c>
      <c r="B78">
        <v>226617.95490000001</v>
      </c>
      <c r="C78">
        <v>233191.10459999999</v>
      </c>
      <c r="D78">
        <v>6968</v>
      </c>
      <c r="E78" s="5">
        <f t="shared" si="4"/>
        <v>32.522668613662461</v>
      </c>
      <c r="F78" s="5">
        <f t="shared" si="5"/>
        <v>-6573.1496999999799</v>
      </c>
      <c r="G78" s="5">
        <f t="shared" si="6"/>
        <v>-65.731496999999806</v>
      </c>
      <c r="H78" s="5">
        <f t="shared" si="7"/>
        <v>-0.94333376865671359</v>
      </c>
    </row>
    <row r="79" spans="1:8" x14ac:dyDescent="0.25">
      <c r="A79" t="s">
        <v>81</v>
      </c>
      <c r="B79">
        <v>243707.8719</v>
      </c>
      <c r="C79">
        <v>250794.2213</v>
      </c>
      <c r="D79">
        <v>7494</v>
      </c>
      <c r="E79" s="5">
        <f t="shared" si="4"/>
        <v>32.520399239391516</v>
      </c>
      <c r="F79" s="5">
        <f t="shared" si="5"/>
        <v>-7086.3494000000064</v>
      </c>
      <c r="G79" s="5">
        <f t="shared" si="6"/>
        <v>-70.86349400000006</v>
      </c>
      <c r="H79" s="5">
        <f t="shared" si="7"/>
        <v>-0.94560306912196512</v>
      </c>
    </row>
    <row r="80" spans="1:8" x14ac:dyDescent="0.25">
      <c r="A80" t="s">
        <v>82</v>
      </c>
      <c r="B80">
        <v>94849.743799999997</v>
      </c>
      <c r="C80">
        <v>90571.588919999995</v>
      </c>
      <c r="D80">
        <v>2707</v>
      </c>
      <c r="E80" s="5">
        <f t="shared" si="4"/>
        <v>35.038693683043959</v>
      </c>
      <c r="F80" s="5">
        <f t="shared" si="5"/>
        <v>4278.1548800000019</v>
      </c>
      <c r="G80" s="5">
        <f t="shared" si="6"/>
        <v>42.781548800000017</v>
      </c>
      <c r="H80" s="5">
        <f t="shared" si="7"/>
        <v>1.5804044625046183</v>
      </c>
    </row>
    <row r="81" spans="1:8" x14ac:dyDescent="0.25">
      <c r="A81" t="s">
        <v>83</v>
      </c>
      <c r="B81">
        <v>92386.783070000005</v>
      </c>
      <c r="C81">
        <v>88255.840989999997</v>
      </c>
      <c r="D81">
        <v>2637</v>
      </c>
      <c r="E81" s="5">
        <f t="shared" si="4"/>
        <v>35.034805866514979</v>
      </c>
      <c r="F81" s="5">
        <f t="shared" si="5"/>
        <v>4130.942080000008</v>
      </c>
      <c r="G81" s="5">
        <f t="shared" si="6"/>
        <v>41.309420800000083</v>
      </c>
      <c r="H81" s="5">
        <f t="shared" si="7"/>
        <v>1.5665309366704618</v>
      </c>
    </row>
    <row r="82" spans="1:8" x14ac:dyDescent="0.25">
      <c r="A82" t="s">
        <v>84</v>
      </c>
      <c r="B82">
        <v>180394.82769999999</v>
      </c>
      <c r="C82">
        <v>172344.30439999999</v>
      </c>
      <c r="D82">
        <v>5149</v>
      </c>
      <c r="E82" s="5">
        <f t="shared" si="4"/>
        <v>35.034924781510973</v>
      </c>
      <c r="F82" s="5">
        <f t="shared" si="5"/>
        <v>8050.5233000000007</v>
      </c>
      <c r="G82" s="5">
        <f t="shared" si="6"/>
        <v>80.505233000000004</v>
      </c>
      <c r="H82" s="5">
        <f t="shared" si="7"/>
        <v>1.5635120023305498</v>
      </c>
    </row>
    <row r="83" spans="1:8" x14ac:dyDescent="0.25">
      <c r="A83" t="s">
        <v>85</v>
      </c>
      <c r="B83">
        <v>200939.6924</v>
      </c>
      <c r="C83">
        <v>192019.14430000001</v>
      </c>
      <c r="D83">
        <v>5735</v>
      </c>
      <c r="E83" s="5">
        <f t="shared" si="4"/>
        <v>35.037435466434175</v>
      </c>
      <c r="F83" s="5">
        <f t="shared" si="5"/>
        <v>8920.5480999999854</v>
      </c>
      <c r="G83" s="5">
        <f t="shared" si="6"/>
        <v>89.20548099999985</v>
      </c>
      <c r="H83" s="5">
        <f t="shared" si="7"/>
        <v>1.5554573844812529</v>
      </c>
    </row>
    <row r="84" spans="1:8" x14ac:dyDescent="0.25">
      <c r="A84" t="s">
        <v>86</v>
      </c>
      <c r="B84">
        <v>172953.9247</v>
      </c>
      <c r="C84">
        <v>165201.30499999999</v>
      </c>
      <c r="D84">
        <v>4936</v>
      </c>
      <c r="E84" s="5">
        <f t="shared" si="4"/>
        <v>35.039287824149106</v>
      </c>
      <c r="F84" s="5">
        <f t="shared" si="5"/>
        <v>7752.6197000000102</v>
      </c>
      <c r="G84" s="5">
        <f t="shared" si="6"/>
        <v>77.526197000000096</v>
      </c>
      <c r="H84" s="5">
        <f t="shared" si="7"/>
        <v>1.5706279781199373</v>
      </c>
    </row>
    <row r="85" spans="1:8" x14ac:dyDescent="0.25">
      <c r="A85" t="s">
        <v>87</v>
      </c>
      <c r="B85">
        <v>70194.799540000007</v>
      </c>
      <c r="C85">
        <v>67061.622709999996</v>
      </c>
      <c r="D85">
        <v>2003</v>
      </c>
      <c r="E85" s="5">
        <f t="shared" si="4"/>
        <v>35.044832521218176</v>
      </c>
      <c r="F85" s="5">
        <f t="shared" si="5"/>
        <v>3133.1768300000113</v>
      </c>
      <c r="G85" s="5">
        <f t="shared" si="6"/>
        <v>31.331768300000114</v>
      </c>
      <c r="H85" s="5">
        <f t="shared" si="7"/>
        <v>1.5642420519221225</v>
      </c>
    </row>
    <row r="86" spans="1:8" x14ac:dyDescent="0.25">
      <c r="A86" t="s">
        <v>88</v>
      </c>
      <c r="B86">
        <v>81378.214630000002</v>
      </c>
      <c r="C86">
        <v>77703.646330000003</v>
      </c>
      <c r="D86">
        <v>2323</v>
      </c>
      <c r="E86" s="5">
        <f t="shared" si="4"/>
        <v>35.031517275075338</v>
      </c>
      <c r="F86" s="5">
        <f t="shared" si="5"/>
        <v>3674.568299999999</v>
      </c>
      <c r="G86" s="5">
        <f t="shared" si="6"/>
        <v>36.745682999999993</v>
      </c>
      <c r="H86" s="5">
        <f t="shared" si="7"/>
        <v>1.581820189410245</v>
      </c>
    </row>
    <row r="87" spans="1:8" x14ac:dyDescent="0.25">
      <c r="A87" t="s">
        <v>89</v>
      </c>
      <c r="B87">
        <v>130227.0147</v>
      </c>
      <c r="C87">
        <v>127394.2892</v>
      </c>
      <c r="D87">
        <v>3822</v>
      </c>
      <c r="E87" s="5">
        <f t="shared" si="4"/>
        <v>34.073002276295135</v>
      </c>
      <c r="F87" s="5">
        <f t="shared" si="5"/>
        <v>2832.7255000000005</v>
      </c>
      <c r="G87" s="5">
        <f t="shared" si="6"/>
        <v>28.327255000000005</v>
      </c>
      <c r="H87" s="5">
        <f t="shared" si="7"/>
        <v>0.74116313448456317</v>
      </c>
    </row>
    <row r="88" spans="1:8" x14ac:dyDescent="0.25">
      <c r="A88" t="s">
        <v>90</v>
      </c>
      <c r="B88">
        <v>125310.0364</v>
      </c>
      <c r="C88">
        <v>122275.1026</v>
      </c>
      <c r="D88">
        <v>3666</v>
      </c>
      <c r="E88" s="5">
        <f t="shared" si="4"/>
        <v>34.181679323513364</v>
      </c>
      <c r="F88" s="5">
        <f t="shared" si="5"/>
        <v>3034.9337999999989</v>
      </c>
      <c r="G88" s="5">
        <f t="shared" si="6"/>
        <v>30.349337999999989</v>
      </c>
      <c r="H88" s="5">
        <f t="shared" si="7"/>
        <v>0.82785973813420588</v>
      </c>
    </row>
    <row r="89" spans="1:8" x14ac:dyDescent="0.25">
      <c r="A89" t="s">
        <v>91</v>
      </c>
      <c r="B89">
        <v>119452.33960000001</v>
      </c>
      <c r="C89">
        <v>118186.575</v>
      </c>
      <c r="D89">
        <v>3543</v>
      </c>
      <c r="E89" s="5">
        <f t="shared" si="4"/>
        <v>33.715026700536271</v>
      </c>
      <c r="F89" s="5">
        <f t="shared" si="5"/>
        <v>1265.7646000000095</v>
      </c>
      <c r="G89" s="5">
        <f t="shared" si="6"/>
        <v>12.657646000000096</v>
      </c>
      <c r="H89" s="5">
        <f t="shared" si="7"/>
        <v>0.35725786057014097</v>
      </c>
    </row>
    <row r="90" spans="1:8" x14ac:dyDescent="0.25">
      <c r="A90" t="s">
        <v>92</v>
      </c>
      <c r="B90">
        <v>276174.76929999999</v>
      </c>
      <c r="C90">
        <v>271550.89559999999</v>
      </c>
      <c r="D90">
        <v>8130</v>
      </c>
      <c r="E90" s="5">
        <f t="shared" si="4"/>
        <v>33.96983632226322</v>
      </c>
      <c r="F90" s="5">
        <f t="shared" si="5"/>
        <v>4623.8736999999965</v>
      </c>
      <c r="G90" s="5">
        <f t="shared" si="6"/>
        <v>46.238736999999965</v>
      </c>
      <c r="H90" s="5">
        <f t="shared" si="7"/>
        <v>0.56874215252152482</v>
      </c>
    </row>
    <row r="91" spans="1:8" x14ac:dyDescent="0.25">
      <c r="A91" t="s">
        <v>93</v>
      </c>
      <c r="B91">
        <v>357369.26689999999</v>
      </c>
      <c r="C91">
        <v>352250.83010000002</v>
      </c>
      <c r="D91">
        <v>10518</v>
      </c>
      <c r="E91" s="5">
        <f t="shared" si="4"/>
        <v>33.976922123977943</v>
      </c>
      <c r="F91" s="5">
        <f t="shared" si="5"/>
        <v>5118.4367999999668</v>
      </c>
      <c r="G91" s="5">
        <f t="shared" si="6"/>
        <v>51.184367999999665</v>
      </c>
      <c r="H91" s="5">
        <f t="shared" si="7"/>
        <v>0.48663593839132596</v>
      </c>
    </row>
    <row r="92" spans="1:8" x14ac:dyDescent="0.25">
      <c r="A92" t="s">
        <v>94</v>
      </c>
      <c r="B92">
        <v>163865.4903</v>
      </c>
      <c r="C92">
        <v>160525.42689999999</v>
      </c>
      <c r="D92">
        <v>4791</v>
      </c>
      <c r="E92" s="5">
        <f t="shared" si="4"/>
        <v>34.20277401377583</v>
      </c>
      <c r="F92" s="5">
        <f t="shared" si="5"/>
        <v>3340.0634000000136</v>
      </c>
      <c r="G92" s="5">
        <f t="shared" si="6"/>
        <v>33.400634000000139</v>
      </c>
      <c r="H92" s="5">
        <f t="shared" si="7"/>
        <v>0.6971537048632882</v>
      </c>
    </row>
    <row r="93" spans="1:8" x14ac:dyDescent="0.25">
      <c r="A93" t="s">
        <v>95</v>
      </c>
      <c r="B93">
        <v>190719.6145</v>
      </c>
      <c r="C93">
        <v>187072.59520000001</v>
      </c>
      <c r="D93">
        <v>5583</v>
      </c>
      <c r="E93" s="5">
        <f t="shared" si="4"/>
        <v>34.160776374708938</v>
      </c>
      <c r="F93" s="5">
        <f t="shared" si="5"/>
        <v>3647.0192999999854</v>
      </c>
      <c r="G93" s="5">
        <f t="shared" si="6"/>
        <v>36.470192999999853</v>
      </c>
      <c r="H93" s="5">
        <f t="shared" si="7"/>
        <v>0.65323648576034132</v>
      </c>
    </row>
    <row r="94" spans="1:8" x14ac:dyDescent="0.25">
      <c r="A94" t="s">
        <v>96</v>
      </c>
      <c r="B94">
        <v>244535.2052</v>
      </c>
      <c r="C94">
        <v>239700.68479999999</v>
      </c>
      <c r="D94">
        <v>7155</v>
      </c>
      <c r="E94" s="5">
        <f t="shared" si="4"/>
        <v>34.176828120195665</v>
      </c>
      <c r="F94" s="5">
        <f t="shared" si="5"/>
        <v>4834.5204000000085</v>
      </c>
      <c r="G94" s="5">
        <f t="shared" si="6"/>
        <v>48.345204000000088</v>
      </c>
      <c r="H94" s="5">
        <f t="shared" si="7"/>
        <v>0.67568419287211856</v>
      </c>
    </row>
    <row r="95" spans="1:8" x14ac:dyDescent="0.25">
      <c r="A95" t="s">
        <v>97</v>
      </c>
      <c r="B95">
        <v>155620.50380000001</v>
      </c>
      <c r="C95">
        <v>153366.01879999999</v>
      </c>
      <c r="D95">
        <v>4575</v>
      </c>
      <c r="E95" s="5">
        <f t="shared" si="4"/>
        <v>34.015410666666668</v>
      </c>
      <c r="F95" s="5">
        <f t="shared" si="5"/>
        <v>2254.4850000000151</v>
      </c>
      <c r="G95" s="5">
        <f t="shared" si="6"/>
        <v>22.544850000000153</v>
      </c>
      <c r="H95" s="5">
        <f t="shared" si="7"/>
        <v>0.49278360655738035</v>
      </c>
    </row>
    <row r="96" spans="1:8" x14ac:dyDescent="0.25">
      <c r="A96" t="s">
        <v>98</v>
      </c>
      <c r="B96">
        <v>136001.97820000001</v>
      </c>
      <c r="C96">
        <v>134523.0686</v>
      </c>
      <c r="D96">
        <v>3997</v>
      </c>
      <c r="E96" s="5">
        <f t="shared" si="4"/>
        <v>34.026014060545414</v>
      </c>
      <c r="F96" s="5">
        <f t="shared" si="5"/>
        <v>1478.9096000000136</v>
      </c>
      <c r="G96" s="5">
        <f t="shared" si="6"/>
        <v>14.789096000000136</v>
      </c>
      <c r="H96" s="5">
        <f t="shared" si="7"/>
        <v>0.37000490367776173</v>
      </c>
    </row>
    <row r="97" spans="1:8" x14ac:dyDescent="0.25">
      <c r="A97" t="s">
        <v>99</v>
      </c>
      <c r="B97">
        <v>190559.88750000001</v>
      </c>
      <c r="C97">
        <v>187742.3</v>
      </c>
      <c r="D97">
        <v>5558</v>
      </c>
      <c r="E97" s="5">
        <f t="shared" si="4"/>
        <v>34.285694044620371</v>
      </c>
      <c r="F97" s="5">
        <f t="shared" si="5"/>
        <v>2817.5875000000233</v>
      </c>
      <c r="G97" s="5">
        <f t="shared" si="6"/>
        <v>28.175875000000232</v>
      </c>
      <c r="H97" s="5">
        <f t="shared" si="7"/>
        <v>0.50694269521410995</v>
      </c>
    </row>
    <row r="98" spans="1:8" x14ac:dyDescent="0.25">
      <c r="A98" t="s">
        <v>100</v>
      </c>
      <c r="B98">
        <v>217110.5025</v>
      </c>
      <c r="C98">
        <v>213540.73420000001</v>
      </c>
      <c r="D98">
        <v>6320</v>
      </c>
      <c r="E98" s="5">
        <f t="shared" si="4"/>
        <v>34.352927610759494</v>
      </c>
      <c r="F98" s="5">
        <f t="shared" si="5"/>
        <v>3569.7682999999961</v>
      </c>
      <c r="G98" s="5">
        <f t="shared" si="6"/>
        <v>35.697682999999962</v>
      </c>
      <c r="H98" s="5">
        <f t="shared" si="7"/>
        <v>0.56483675632911334</v>
      </c>
    </row>
    <row r="99" spans="1:8" x14ac:dyDescent="0.25">
      <c r="A99" t="s">
        <v>101</v>
      </c>
      <c r="B99">
        <v>119190.1</v>
      </c>
      <c r="C99">
        <v>116856.3146</v>
      </c>
      <c r="D99">
        <v>3447</v>
      </c>
      <c r="E99" s="5">
        <f t="shared" si="4"/>
        <v>34.577922831447637</v>
      </c>
      <c r="F99" s="5">
        <f t="shared" si="5"/>
        <v>2333.7854000000079</v>
      </c>
      <c r="G99" s="5">
        <f t="shared" si="6"/>
        <v>23.337854000000078</v>
      </c>
      <c r="H99" s="5">
        <f t="shared" si="7"/>
        <v>0.67704827386133104</v>
      </c>
    </row>
    <row r="100" spans="1:8" x14ac:dyDescent="0.25">
      <c r="A100" t="s">
        <v>102</v>
      </c>
      <c r="B100">
        <v>131910.19750000001</v>
      </c>
      <c r="C100">
        <v>130784.44469999999</v>
      </c>
      <c r="D100">
        <v>3854</v>
      </c>
      <c r="E100" s="5">
        <f t="shared" si="4"/>
        <v>34.226828619615986</v>
      </c>
      <c r="F100" s="5">
        <f t="shared" si="5"/>
        <v>1125.7528000000166</v>
      </c>
      <c r="G100" s="5">
        <f t="shared" si="6"/>
        <v>11.257528000000166</v>
      </c>
      <c r="H100" s="5">
        <f t="shared" si="7"/>
        <v>0.29209984431759639</v>
      </c>
    </row>
    <row r="101" spans="1:8" x14ac:dyDescent="0.25">
      <c r="A101" t="s">
        <v>103</v>
      </c>
      <c r="B101">
        <v>118921.3077</v>
      </c>
      <c r="C101">
        <v>115305.8052</v>
      </c>
      <c r="D101">
        <v>3394</v>
      </c>
      <c r="E101" s="5">
        <f t="shared" si="4"/>
        <v>35.038688185032413</v>
      </c>
      <c r="F101" s="5">
        <f t="shared" si="5"/>
        <v>3615.5025000000023</v>
      </c>
      <c r="G101" s="5">
        <f t="shared" si="6"/>
        <v>36.155025000000023</v>
      </c>
      <c r="H101" s="5">
        <f t="shared" si="7"/>
        <v>1.0652629640542139</v>
      </c>
    </row>
    <row r="102" spans="1:8" x14ac:dyDescent="0.25">
      <c r="A102" t="s">
        <v>104</v>
      </c>
      <c r="B102">
        <v>124828.2828</v>
      </c>
      <c r="C102">
        <v>121264.7031</v>
      </c>
      <c r="D102">
        <v>3563</v>
      </c>
      <c r="E102" s="5">
        <f t="shared" si="4"/>
        <v>35.034600841987093</v>
      </c>
      <c r="F102" s="5">
        <f t="shared" si="5"/>
        <v>3563.579700000002</v>
      </c>
      <c r="G102" s="5">
        <f t="shared" si="6"/>
        <v>35.635797000000018</v>
      </c>
      <c r="H102" s="5">
        <f t="shared" si="7"/>
        <v>1.0001626999719344</v>
      </c>
    </row>
    <row r="103" spans="1:8" x14ac:dyDescent="0.25">
      <c r="A103" t="s">
        <v>105</v>
      </c>
      <c r="B103">
        <v>179326.4902</v>
      </c>
      <c r="C103">
        <v>183278.5024</v>
      </c>
      <c r="D103">
        <v>5380</v>
      </c>
      <c r="E103" s="5">
        <f t="shared" si="4"/>
        <v>33.332061375464683</v>
      </c>
      <c r="F103" s="5">
        <f t="shared" si="5"/>
        <v>-3952.0121999999974</v>
      </c>
      <c r="G103" s="5">
        <f t="shared" si="6"/>
        <v>-39.520121999999972</v>
      </c>
      <c r="H103" s="5">
        <f t="shared" si="7"/>
        <v>-0.73457475836431174</v>
      </c>
    </row>
    <row r="104" spans="1:8" x14ac:dyDescent="0.25">
      <c r="A104" t="s">
        <v>106</v>
      </c>
      <c r="B104">
        <v>318949.81709999999</v>
      </c>
      <c r="C104">
        <v>326322.52600000001</v>
      </c>
      <c r="D104">
        <v>9573</v>
      </c>
      <c r="E104" s="5">
        <f t="shared" si="4"/>
        <v>33.317645158257598</v>
      </c>
      <c r="F104" s="5">
        <f t="shared" si="5"/>
        <v>-7372.7089000000269</v>
      </c>
      <c r="G104" s="5">
        <f t="shared" si="6"/>
        <v>-73.727089000000262</v>
      </c>
      <c r="H104" s="5">
        <f t="shared" si="7"/>
        <v>-0.77015657578606778</v>
      </c>
    </row>
    <row r="105" spans="1:8" x14ac:dyDescent="0.25">
      <c r="A105" t="s">
        <v>107</v>
      </c>
      <c r="B105">
        <v>375031.10930000001</v>
      </c>
      <c r="C105">
        <v>383727.19400000002</v>
      </c>
      <c r="D105">
        <v>11250</v>
      </c>
      <c r="E105" s="5">
        <f t="shared" si="4"/>
        <v>33.336098604444445</v>
      </c>
      <c r="F105" s="5">
        <f t="shared" si="5"/>
        <v>-8696.0847000000067</v>
      </c>
      <c r="G105" s="5">
        <f t="shared" si="6"/>
        <v>-86.960847000000072</v>
      </c>
      <c r="H105" s="5">
        <f t="shared" si="7"/>
        <v>-0.77298530666666732</v>
      </c>
    </row>
    <row r="106" spans="1:8" x14ac:dyDescent="0.25">
      <c r="A106" t="s">
        <v>108</v>
      </c>
      <c r="B106">
        <v>166393.54070000001</v>
      </c>
      <c r="C106">
        <v>170061.86410000001</v>
      </c>
      <c r="D106">
        <v>4990</v>
      </c>
      <c r="E106" s="5">
        <f t="shared" si="4"/>
        <v>33.345398937875757</v>
      </c>
      <c r="F106" s="5">
        <f t="shared" si="5"/>
        <v>-3668.3233999999939</v>
      </c>
      <c r="G106" s="5">
        <f t="shared" si="6"/>
        <v>-36.683233999999942</v>
      </c>
      <c r="H106" s="5">
        <f t="shared" si="7"/>
        <v>-0.73513494989979833</v>
      </c>
    </row>
    <row r="107" spans="1:8" x14ac:dyDescent="0.25">
      <c r="A107" t="s">
        <v>109</v>
      </c>
      <c r="B107">
        <v>193652.3278</v>
      </c>
      <c r="C107">
        <v>198212.0687</v>
      </c>
      <c r="D107">
        <v>5810</v>
      </c>
      <c r="E107" s="5">
        <f t="shared" si="4"/>
        <v>33.330865370051633</v>
      </c>
      <c r="F107" s="5">
        <f t="shared" si="5"/>
        <v>-4559.7409000000043</v>
      </c>
      <c r="G107" s="5">
        <f t="shared" si="6"/>
        <v>-45.597409000000042</v>
      </c>
      <c r="H107" s="5">
        <f t="shared" si="7"/>
        <v>-0.78480910499139489</v>
      </c>
    </row>
    <row r="108" spans="1:8" x14ac:dyDescent="0.25">
      <c r="A108" t="s">
        <v>110</v>
      </c>
      <c r="B108">
        <v>249805.5172</v>
      </c>
      <c r="C108">
        <v>255956.65400000001</v>
      </c>
      <c r="D108">
        <v>7497</v>
      </c>
      <c r="E108" s="5">
        <f t="shared" si="4"/>
        <v>33.32073058556756</v>
      </c>
      <c r="F108" s="5">
        <f t="shared" si="5"/>
        <v>-6151.1368000000075</v>
      </c>
      <c r="G108" s="5">
        <f t="shared" si="6"/>
        <v>-61.511368000000076</v>
      </c>
      <c r="H108" s="5">
        <f t="shared" si="7"/>
        <v>-0.82047976523943011</v>
      </c>
    </row>
    <row r="109" spans="1:8" x14ac:dyDescent="0.25">
      <c r="A109" t="s">
        <v>111</v>
      </c>
      <c r="B109">
        <v>294023.41090000002</v>
      </c>
      <c r="C109">
        <v>301522.35230000003</v>
      </c>
      <c r="D109">
        <v>8821</v>
      </c>
      <c r="E109" s="5">
        <f t="shared" si="4"/>
        <v>33.332208468427616</v>
      </c>
      <c r="F109" s="5">
        <f t="shared" si="5"/>
        <v>-7498.9414000000106</v>
      </c>
      <c r="G109" s="5">
        <f t="shared" si="6"/>
        <v>-74.98941400000011</v>
      </c>
      <c r="H109" s="5">
        <f t="shared" si="7"/>
        <v>-0.85012372746854215</v>
      </c>
    </row>
    <row r="110" spans="1:8" x14ac:dyDescent="0.25">
      <c r="A110" t="s">
        <v>112</v>
      </c>
      <c r="B110">
        <v>612236.00580000004</v>
      </c>
      <c r="C110">
        <v>627927.75870000001</v>
      </c>
      <c r="D110">
        <v>18366</v>
      </c>
      <c r="E110" s="5">
        <f t="shared" si="4"/>
        <v>33.335293792878147</v>
      </c>
      <c r="F110" s="5">
        <f t="shared" si="5"/>
        <v>-15691.752899999963</v>
      </c>
      <c r="G110" s="5">
        <f t="shared" si="6"/>
        <v>-156.91752899999963</v>
      </c>
      <c r="H110" s="5">
        <f t="shared" si="7"/>
        <v>-0.85439142437111859</v>
      </c>
    </row>
    <row r="111" spans="1:8" x14ac:dyDescent="0.25">
      <c r="A111" t="s">
        <v>113</v>
      </c>
      <c r="B111">
        <v>464815.51789999998</v>
      </c>
      <c r="C111">
        <v>476692.54369999998</v>
      </c>
      <c r="D111">
        <v>13940</v>
      </c>
      <c r="E111" s="5">
        <f t="shared" si="4"/>
        <v>33.344011327116213</v>
      </c>
      <c r="F111" s="5">
        <f t="shared" si="5"/>
        <v>-11877.025800000003</v>
      </c>
      <c r="G111" s="5">
        <f t="shared" si="6"/>
        <v>-118.77025800000003</v>
      </c>
      <c r="H111" s="5">
        <f t="shared" si="7"/>
        <v>-0.85201045911047368</v>
      </c>
    </row>
    <row r="112" spans="1:8" x14ac:dyDescent="0.25">
      <c r="A112" t="s">
        <v>114</v>
      </c>
      <c r="B112">
        <v>360480.94040000002</v>
      </c>
      <c r="C112">
        <v>369765.6128</v>
      </c>
      <c r="D112">
        <v>10814</v>
      </c>
      <c r="E112" s="5">
        <f t="shared" si="4"/>
        <v>33.334653264287034</v>
      </c>
      <c r="F112" s="5">
        <f t="shared" si="5"/>
        <v>-9284.6723999999813</v>
      </c>
      <c r="G112" s="5">
        <f t="shared" si="6"/>
        <v>-92.84672399999981</v>
      </c>
      <c r="H112" s="5">
        <f t="shared" si="7"/>
        <v>-0.85857891621971349</v>
      </c>
    </row>
    <row r="113" spans="1:8" x14ac:dyDescent="0.25">
      <c r="A113" t="s">
        <v>115</v>
      </c>
      <c r="B113">
        <v>114279.5773</v>
      </c>
      <c r="C113">
        <v>117190.8262</v>
      </c>
      <c r="D113">
        <v>3429</v>
      </c>
      <c r="E113" s="5">
        <f t="shared" si="4"/>
        <v>33.327377456984543</v>
      </c>
      <c r="F113" s="5">
        <f t="shared" si="5"/>
        <v>-2911.2488999999914</v>
      </c>
      <c r="G113" s="5">
        <f t="shared" si="6"/>
        <v>-29.112488999999915</v>
      </c>
      <c r="H113" s="5">
        <f t="shared" si="7"/>
        <v>-0.84900813648293716</v>
      </c>
    </row>
    <row r="114" spans="1:8" x14ac:dyDescent="0.25">
      <c r="A114" t="s">
        <v>116</v>
      </c>
      <c r="B114">
        <v>161170.8204</v>
      </c>
      <c r="C114">
        <v>165415.08379999999</v>
      </c>
      <c r="D114">
        <v>4834</v>
      </c>
      <c r="E114" s="5">
        <f t="shared" si="4"/>
        <v>33.341088208522962</v>
      </c>
      <c r="F114" s="5">
        <f t="shared" si="5"/>
        <v>-4244.2633999999962</v>
      </c>
      <c r="G114" s="5">
        <f t="shared" si="6"/>
        <v>-42.442633999999963</v>
      </c>
      <c r="H114" s="5">
        <f t="shared" si="7"/>
        <v>-0.87800235829540674</v>
      </c>
    </row>
    <row r="115" spans="1:8" x14ac:dyDescent="0.25">
      <c r="A115" t="s">
        <v>117</v>
      </c>
      <c r="B115">
        <v>182483.1465</v>
      </c>
      <c r="C115">
        <v>187344.7372</v>
      </c>
      <c r="D115">
        <v>5475</v>
      </c>
      <c r="E115" s="5">
        <f t="shared" si="4"/>
        <v>33.330255068493152</v>
      </c>
      <c r="F115" s="5">
        <f t="shared" si="5"/>
        <v>-4861.5907000000007</v>
      </c>
      <c r="G115" s="5">
        <f t="shared" si="6"/>
        <v>-48.615907000000007</v>
      </c>
      <c r="H115" s="5">
        <f t="shared" si="7"/>
        <v>-0.88796177168949786</v>
      </c>
    </row>
    <row r="116" spans="1:8" x14ac:dyDescent="0.25">
      <c r="A116" t="s">
        <v>118</v>
      </c>
      <c r="B116">
        <v>109358.41250000001</v>
      </c>
      <c r="C116">
        <v>106849.8988</v>
      </c>
      <c r="D116">
        <v>3121</v>
      </c>
      <c r="E116" s="5">
        <f t="shared" si="4"/>
        <v>35.039542614546619</v>
      </c>
      <c r="F116" s="5">
        <f t="shared" si="5"/>
        <v>2508.5137000000104</v>
      </c>
      <c r="G116" s="5">
        <f t="shared" si="6"/>
        <v>25.085137000000103</v>
      </c>
      <c r="H116" s="5">
        <f t="shared" si="7"/>
        <v>0.80375318808074669</v>
      </c>
    </row>
    <row r="117" spans="1:8" x14ac:dyDescent="0.25">
      <c r="A117" t="s">
        <v>119</v>
      </c>
      <c r="B117">
        <v>98430.114109999995</v>
      </c>
      <c r="C117">
        <v>96197.482229999994</v>
      </c>
      <c r="D117">
        <v>2809</v>
      </c>
      <c r="E117" s="5">
        <f t="shared" si="4"/>
        <v>35.040980459238163</v>
      </c>
      <c r="F117" s="5">
        <f t="shared" si="5"/>
        <v>2232.6318800000008</v>
      </c>
      <c r="G117" s="5">
        <f t="shared" si="6"/>
        <v>22.32631880000001</v>
      </c>
      <c r="H117" s="5">
        <f t="shared" si="7"/>
        <v>0.79481377002492015</v>
      </c>
    </row>
    <row r="118" spans="1:8" x14ac:dyDescent="0.25">
      <c r="A118" t="s">
        <v>120</v>
      </c>
      <c r="B118">
        <v>295741.34700000001</v>
      </c>
      <c r="C118">
        <v>292327.02830000001</v>
      </c>
      <c r="D118">
        <v>8537</v>
      </c>
      <c r="E118" s="5">
        <f t="shared" si="4"/>
        <v>34.64230373667565</v>
      </c>
      <c r="F118" s="5">
        <f t="shared" si="5"/>
        <v>3414.3187000000034</v>
      </c>
      <c r="G118" s="5">
        <f t="shared" si="6"/>
        <v>34.143187000000033</v>
      </c>
      <c r="H118" s="5">
        <f t="shared" si="7"/>
        <v>0.39994362188122329</v>
      </c>
    </row>
    <row r="119" spans="1:8" x14ac:dyDescent="0.25">
      <c r="A119" t="s">
        <v>121</v>
      </c>
      <c r="B119">
        <v>285053.97989999998</v>
      </c>
      <c r="C119">
        <v>281159.58110000001</v>
      </c>
      <c r="D119">
        <v>8209</v>
      </c>
      <c r="E119" s="5">
        <f t="shared" si="4"/>
        <v>34.724568144719207</v>
      </c>
      <c r="F119" s="5">
        <f t="shared" si="5"/>
        <v>3894.3987999999663</v>
      </c>
      <c r="G119" s="5">
        <f t="shared" si="6"/>
        <v>38.943987999999663</v>
      </c>
      <c r="H119" s="5">
        <f t="shared" si="7"/>
        <v>0.47440599342184997</v>
      </c>
    </row>
    <row r="120" spans="1:8" x14ac:dyDescent="0.25">
      <c r="A120" t="s">
        <v>122</v>
      </c>
      <c r="B120">
        <v>124964.7965</v>
      </c>
      <c r="C120">
        <v>123042.159</v>
      </c>
      <c r="D120">
        <v>3592</v>
      </c>
      <c r="E120" s="5">
        <f t="shared" si="4"/>
        <v>34.789754036748327</v>
      </c>
      <c r="F120" s="5">
        <f t="shared" si="5"/>
        <v>1922.6374999999971</v>
      </c>
      <c r="G120" s="5">
        <f t="shared" si="6"/>
        <v>19.226374999999972</v>
      </c>
      <c r="H120" s="5">
        <f t="shared" si="7"/>
        <v>0.53525542873051146</v>
      </c>
    </row>
    <row r="121" spans="1:8" x14ac:dyDescent="0.25">
      <c r="A121" t="s">
        <v>123</v>
      </c>
      <c r="B121">
        <v>124175.80839999999</v>
      </c>
      <c r="C121">
        <v>122516.06570000001</v>
      </c>
      <c r="D121">
        <v>3576</v>
      </c>
      <c r="E121" s="5">
        <f t="shared" si="4"/>
        <v>34.724778635346752</v>
      </c>
      <c r="F121" s="5">
        <f t="shared" si="5"/>
        <v>1659.742699999988</v>
      </c>
      <c r="G121" s="5">
        <f t="shared" si="6"/>
        <v>16.597426999999879</v>
      </c>
      <c r="H121" s="5">
        <f t="shared" si="7"/>
        <v>0.46413386465324047</v>
      </c>
    </row>
    <row r="122" spans="1:8" x14ac:dyDescent="0.25">
      <c r="A122" t="s">
        <v>124</v>
      </c>
      <c r="B122">
        <v>131842.5716</v>
      </c>
      <c r="C122">
        <v>130405.26390000001</v>
      </c>
      <c r="D122">
        <v>3807</v>
      </c>
      <c r="E122" s="5">
        <f t="shared" si="4"/>
        <v>34.631618492251114</v>
      </c>
      <c r="F122" s="5">
        <f t="shared" si="5"/>
        <v>1437.3076999999903</v>
      </c>
      <c r="G122" s="5">
        <f t="shared" si="6"/>
        <v>14.373076999999903</v>
      </c>
      <c r="H122" s="5">
        <f t="shared" si="7"/>
        <v>0.37754339374835572</v>
      </c>
    </row>
    <row r="123" spans="1:8" x14ac:dyDescent="0.25">
      <c r="A123" t="s">
        <v>125</v>
      </c>
      <c r="B123">
        <v>154850.05729999999</v>
      </c>
      <c r="C123">
        <v>150644.34820000001</v>
      </c>
      <c r="D123">
        <v>4398</v>
      </c>
      <c r="E123" s="5">
        <f t="shared" si="4"/>
        <v>35.209199022282853</v>
      </c>
      <c r="F123" s="5">
        <f t="shared" si="5"/>
        <v>4205.7090999999782</v>
      </c>
      <c r="G123" s="5">
        <f t="shared" si="6"/>
        <v>42.05709099999978</v>
      </c>
      <c r="H123" s="5">
        <f t="shared" si="7"/>
        <v>0.9562776489313275</v>
      </c>
    </row>
    <row r="124" spans="1:8" x14ac:dyDescent="0.25">
      <c r="A124" t="s">
        <v>126</v>
      </c>
      <c r="B124">
        <v>180294.26869999999</v>
      </c>
      <c r="C124">
        <v>175656.65040000001</v>
      </c>
      <c r="D124">
        <v>5124</v>
      </c>
      <c r="E124" s="5">
        <f t="shared" si="4"/>
        <v>35.186235109289612</v>
      </c>
      <c r="F124" s="5">
        <f t="shared" si="5"/>
        <v>4637.6182999999728</v>
      </c>
      <c r="G124" s="5">
        <f t="shared" si="6"/>
        <v>46.376182999999727</v>
      </c>
      <c r="H124" s="5">
        <f t="shared" si="7"/>
        <v>0.90507773224043186</v>
      </c>
    </row>
    <row r="125" spans="1:8" x14ac:dyDescent="0.25">
      <c r="A125" t="s">
        <v>127</v>
      </c>
      <c r="B125">
        <v>163849.03580000001</v>
      </c>
      <c r="C125">
        <v>157300.6256</v>
      </c>
      <c r="D125">
        <v>4581</v>
      </c>
      <c r="E125" s="5">
        <f t="shared" si="4"/>
        <v>35.76708923815761</v>
      </c>
      <c r="F125" s="5">
        <f t="shared" si="5"/>
        <v>6548.410200000013</v>
      </c>
      <c r="G125" s="5">
        <f t="shared" si="6"/>
        <v>65.484102000000135</v>
      </c>
      <c r="H125" s="5">
        <f t="shared" si="7"/>
        <v>1.4294717747216794</v>
      </c>
    </row>
    <row r="126" spans="1:8" x14ac:dyDescent="0.25">
      <c r="A126" t="s">
        <v>128</v>
      </c>
      <c r="B126">
        <v>131436.79240000001</v>
      </c>
      <c r="C126">
        <v>127601.94469999999</v>
      </c>
      <c r="D126">
        <v>3697</v>
      </c>
      <c r="E126" s="5">
        <f t="shared" si="4"/>
        <v>35.552283581282126</v>
      </c>
      <c r="F126" s="5">
        <f t="shared" si="5"/>
        <v>3834.847700000013</v>
      </c>
      <c r="G126" s="5">
        <f t="shared" si="6"/>
        <v>38.34847700000013</v>
      </c>
      <c r="H126" s="5">
        <f t="shared" si="7"/>
        <v>1.0372863673248616</v>
      </c>
    </row>
    <row r="127" spans="1:8" x14ac:dyDescent="0.25">
      <c r="A127" t="s">
        <v>129</v>
      </c>
      <c r="B127">
        <v>93082.043959999995</v>
      </c>
      <c r="C127">
        <v>91601.506540000002</v>
      </c>
      <c r="D127">
        <v>2642</v>
      </c>
      <c r="E127" s="5">
        <f t="shared" si="4"/>
        <v>35.231659333838003</v>
      </c>
      <c r="F127" s="5">
        <f t="shared" si="5"/>
        <v>1480.5374199999933</v>
      </c>
      <c r="G127" s="5">
        <f t="shared" si="6"/>
        <v>14.805374199999934</v>
      </c>
      <c r="H127" s="5">
        <f t="shared" si="7"/>
        <v>0.5603850946252813</v>
      </c>
    </row>
    <row r="128" spans="1:8" x14ac:dyDescent="0.25">
      <c r="A128" t="s">
        <v>130</v>
      </c>
      <c r="B128">
        <v>110887.01330000001</v>
      </c>
      <c r="C128">
        <v>109460.1532</v>
      </c>
      <c r="D128">
        <v>3154</v>
      </c>
      <c r="E128" s="5">
        <f t="shared" si="4"/>
        <v>35.157581896005077</v>
      </c>
      <c r="F128" s="5">
        <f t="shared" si="5"/>
        <v>1426.8601000000053</v>
      </c>
      <c r="G128" s="5">
        <f t="shared" si="6"/>
        <v>14.268601000000054</v>
      </c>
      <c r="H128" s="5">
        <f t="shared" si="7"/>
        <v>0.45239698795180894</v>
      </c>
    </row>
    <row r="129" spans="1:8" x14ac:dyDescent="0.25">
      <c r="A129" t="s">
        <v>131</v>
      </c>
      <c r="B129">
        <v>119385.5754</v>
      </c>
      <c r="C129">
        <v>115693.1066</v>
      </c>
      <c r="D129">
        <v>3324</v>
      </c>
      <c r="E129" s="5">
        <f t="shared" si="4"/>
        <v>35.916238086642601</v>
      </c>
      <c r="F129" s="5">
        <f t="shared" si="5"/>
        <v>3692.4688000000024</v>
      </c>
      <c r="G129" s="5">
        <f t="shared" si="6"/>
        <v>36.924688000000025</v>
      </c>
      <c r="H129" s="5">
        <f t="shared" si="7"/>
        <v>1.11085102286402</v>
      </c>
    </row>
    <row r="130" spans="1:8" x14ac:dyDescent="0.25">
      <c r="A130" t="s">
        <v>132</v>
      </c>
      <c r="B130">
        <v>91719.589380000005</v>
      </c>
      <c r="C130">
        <v>93157.170580000005</v>
      </c>
      <c r="D130">
        <v>2677</v>
      </c>
      <c r="E130" s="5">
        <f t="shared" si="4"/>
        <v>34.262080455734029</v>
      </c>
      <c r="F130" s="5">
        <f t="shared" si="5"/>
        <v>-1437.5812000000005</v>
      </c>
      <c r="G130" s="5">
        <f t="shared" si="6"/>
        <v>-14.375812000000005</v>
      </c>
      <c r="H130" s="5">
        <f t="shared" si="7"/>
        <v>-0.53701202838998896</v>
      </c>
    </row>
    <row r="131" spans="1:8" x14ac:dyDescent="0.25">
      <c r="A131" t="s">
        <v>133</v>
      </c>
      <c r="B131">
        <v>96335.448950000005</v>
      </c>
      <c r="C131">
        <v>93696.216140000004</v>
      </c>
      <c r="D131">
        <v>2683</v>
      </c>
      <c r="E131" s="5">
        <f t="shared" ref="E131:E194" si="8">B131/D131</f>
        <v>35.905869903093553</v>
      </c>
      <c r="F131" s="5">
        <f t="shared" ref="F131:F147" si="9" xml:space="preserve"> B131-C131</f>
        <v>2639.2328100000013</v>
      </c>
      <c r="G131" s="5">
        <f t="shared" ref="G131:G194" si="10">F131/100</f>
        <v>26.392328100000015</v>
      </c>
      <c r="H131" s="5">
        <f t="shared" ref="H131:H194" si="11">F131/D131</f>
        <v>0.98368721953037697</v>
      </c>
    </row>
    <row r="132" spans="1:8" x14ac:dyDescent="0.25">
      <c r="A132" t="s">
        <v>134</v>
      </c>
      <c r="B132">
        <v>303226.29840000003</v>
      </c>
      <c r="C132">
        <v>325836.94010000001</v>
      </c>
      <c r="D132">
        <v>9328</v>
      </c>
      <c r="E132" s="5">
        <f t="shared" si="8"/>
        <v>32.50710746140652</v>
      </c>
      <c r="F132" s="5">
        <f t="shared" si="9"/>
        <v>-22610.641699999978</v>
      </c>
      <c r="G132" s="5">
        <f t="shared" si="10"/>
        <v>-226.10641699999979</v>
      </c>
      <c r="H132" s="5">
        <f t="shared" si="11"/>
        <v>-2.4239538700686083</v>
      </c>
    </row>
    <row r="133" spans="1:8" x14ac:dyDescent="0.25">
      <c r="A133" t="s">
        <v>135</v>
      </c>
      <c r="B133">
        <v>431695.70919999998</v>
      </c>
      <c r="C133">
        <v>465253.81569999998</v>
      </c>
      <c r="D133">
        <v>13306</v>
      </c>
      <c r="E133" s="5">
        <f t="shared" si="8"/>
        <v>32.443687749887268</v>
      </c>
      <c r="F133" s="5">
        <f t="shared" si="9"/>
        <v>-33558.106499999994</v>
      </c>
      <c r="G133" s="5">
        <f t="shared" si="10"/>
        <v>-335.58106499999997</v>
      </c>
      <c r="H133" s="5">
        <f t="shared" si="11"/>
        <v>-2.5220281451976549</v>
      </c>
    </row>
    <row r="134" spans="1:8" x14ac:dyDescent="0.25">
      <c r="A134" t="s">
        <v>136</v>
      </c>
      <c r="B134">
        <v>200407.27710000001</v>
      </c>
      <c r="C134">
        <v>215907.82490000001</v>
      </c>
      <c r="D134">
        <v>6173</v>
      </c>
      <c r="E134" s="5">
        <f t="shared" si="8"/>
        <v>32.465134796695288</v>
      </c>
      <c r="F134" s="5">
        <f t="shared" si="9"/>
        <v>-15500.5478</v>
      </c>
      <c r="G134" s="5">
        <f t="shared" si="10"/>
        <v>-155.00547800000001</v>
      </c>
      <c r="H134" s="5">
        <f t="shared" si="11"/>
        <v>-2.5110234569901184</v>
      </c>
    </row>
    <row r="135" spans="1:8" x14ac:dyDescent="0.25">
      <c r="A135" t="s">
        <v>137</v>
      </c>
      <c r="B135">
        <v>183413.7083</v>
      </c>
      <c r="C135">
        <v>197835.4951</v>
      </c>
      <c r="D135">
        <v>5653</v>
      </c>
      <c r="E135" s="5">
        <f t="shared" si="8"/>
        <v>32.445375605872989</v>
      </c>
      <c r="F135" s="5">
        <f t="shared" si="9"/>
        <v>-14421.786800000002</v>
      </c>
      <c r="G135" s="5">
        <f t="shared" si="10"/>
        <v>-144.21786800000001</v>
      </c>
      <c r="H135" s="5">
        <f t="shared" si="11"/>
        <v>-2.5511740314877058</v>
      </c>
    </row>
    <row r="136" spans="1:8" x14ac:dyDescent="0.25">
      <c r="A136" t="s">
        <v>138</v>
      </c>
      <c r="B136">
        <v>146166.6011</v>
      </c>
      <c r="C136">
        <v>157693.1893</v>
      </c>
      <c r="D136">
        <v>4503</v>
      </c>
      <c r="E136" s="5">
        <f t="shared" si="8"/>
        <v>32.459827026426829</v>
      </c>
      <c r="F136" s="5">
        <f t="shared" si="9"/>
        <v>-11526.588199999998</v>
      </c>
      <c r="G136" s="5">
        <f t="shared" si="10"/>
        <v>-115.26588199999998</v>
      </c>
      <c r="H136" s="5">
        <f t="shared" si="11"/>
        <v>-2.5597575394181651</v>
      </c>
    </row>
    <row r="137" spans="1:8" x14ac:dyDescent="0.25">
      <c r="A137" t="s">
        <v>139</v>
      </c>
      <c r="B137">
        <v>201120.72760000001</v>
      </c>
      <c r="C137">
        <v>218098.76190000001</v>
      </c>
      <c r="D137">
        <v>6253</v>
      </c>
      <c r="E137" s="5">
        <f t="shared" si="8"/>
        <v>32.163877754677756</v>
      </c>
      <c r="F137" s="5">
        <f t="shared" si="9"/>
        <v>-16978.034299999999</v>
      </c>
      <c r="G137" s="5">
        <f t="shared" si="10"/>
        <v>-169.78034299999999</v>
      </c>
      <c r="H137" s="5">
        <f t="shared" si="11"/>
        <v>-2.7151822005437389</v>
      </c>
    </row>
    <row r="138" spans="1:8" x14ac:dyDescent="0.25">
      <c r="A138" t="s">
        <v>140</v>
      </c>
      <c r="B138">
        <v>270123.55080000003</v>
      </c>
      <c r="C138">
        <v>289864.79849999998</v>
      </c>
      <c r="D138">
        <v>8408</v>
      </c>
      <c r="E138" s="5">
        <f t="shared" si="8"/>
        <v>32.126968458610847</v>
      </c>
      <c r="F138" s="5">
        <f t="shared" si="9"/>
        <v>-19741.247699999949</v>
      </c>
      <c r="G138" s="5">
        <f t="shared" si="10"/>
        <v>-197.41247699999948</v>
      </c>
      <c r="H138" s="5">
        <f t="shared" si="11"/>
        <v>-2.3479124286393849</v>
      </c>
    </row>
    <row r="139" spans="1:8" x14ac:dyDescent="0.25">
      <c r="A139" t="s">
        <v>141</v>
      </c>
      <c r="B139">
        <v>415315.38390000002</v>
      </c>
      <c r="C139">
        <v>441790.7672</v>
      </c>
      <c r="D139">
        <v>12949</v>
      </c>
      <c r="E139" s="5">
        <f t="shared" si="8"/>
        <v>32.073162707544988</v>
      </c>
      <c r="F139" s="5">
        <f t="shared" si="9"/>
        <v>-26475.383299999987</v>
      </c>
      <c r="G139" s="5">
        <f t="shared" si="10"/>
        <v>-264.75383299999987</v>
      </c>
      <c r="H139" s="5">
        <f t="shared" si="11"/>
        <v>-2.0445890261796267</v>
      </c>
    </row>
    <row r="140" spans="1:8" x14ac:dyDescent="0.25">
      <c r="A140" t="s">
        <v>142</v>
      </c>
      <c r="B140">
        <v>498716.9976</v>
      </c>
      <c r="C140">
        <v>526707.37699999998</v>
      </c>
      <c r="D140">
        <v>15508</v>
      </c>
      <c r="E140" s="5">
        <f t="shared" si="8"/>
        <v>32.1586921330926</v>
      </c>
      <c r="F140" s="5">
        <f t="shared" si="9"/>
        <v>-27990.379399999976</v>
      </c>
      <c r="G140" s="5">
        <f t="shared" si="10"/>
        <v>-279.90379399999978</v>
      </c>
      <c r="H140" s="5">
        <f t="shared" si="11"/>
        <v>-1.8048993680680923</v>
      </c>
    </row>
    <row r="141" spans="1:8" x14ac:dyDescent="0.25">
      <c r="A141" t="s">
        <v>143</v>
      </c>
      <c r="B141">
        <v>166433.1721</v>
      </c>
      <c r="C141">
        <v>174376.63250000001</v>
      </c>
      <c r="D141">
        <v>5141</v>
      </c>
      <c r="E141" s="5">
        <f t="shared" si="8"/>
        <v>32.373696187512159</v>
      </c>
      <c r="F141" s="5">
        <f t="shared" si="9"/>
        <v>-7943.4604000000108</v>
      </c>
      <c r="G141" s="5">
        <f t="shared" si="10"/>
        <v>-79.434604000000107</v>
      </c>
      <c r="H141" s="5">
        <f t="shared" si="11"/>
        <v>-1.5451197043376796</v>
      </c>
    </row>
    <row r="142" spans="1:8" x14ac:dyDescent="0.25">
      <c r="A142" t="s">
        <v>144</v>
      </c>
      <c r="B142">
        <v>168520.62940000001</v>
      </c>
      <c r="C142">
        <v>175540.11550000001</v>
      </c>
      <c r="D142">
        <v>5194</v>
      </c>
      <c r="E142" s="5">
        <f t="shared" si="8"/>
        <v>32.445250173276861</v>
      </c>
      <c r="F142" s="5">
        <f t="shared" si="9"/>
        <v>-7019.4861000000092</v>
      </c>
      <c r="G142" s="5">
        <f t="shared" si="10"/>
        <v>-70.194861000000088</v>
      </c>
      <c r="H142" s="5">
        <f t="shared" si="11"/>
        <v>-1.3514605506353503</v>
      </c>
    </row>
    <row r="143" spans="1:8" x14ac:dyDescent="0.25">
      <c r="A143" t="s">
        <v>145</v>
      </c>
      <c r="B143">
        <v>178123.53210000001</v>
      </c>
      <c r="C143">
        <v>187748.1722</v>
      </c>
      <c r="D143">
        <v>5550</v>
      </c>
      <c r="E143" s="5">
        <f t="shared" si="8"/>
        <v>32.09433010810811</v>
      </c>
      <c r="F143" s="5">
        <f t="shared" si="9"/>
        <v>-9624.6400999999896</v>
      </c>
      <c r="G143" s="5">
        <f t="shared" si="10"/>
        <v>-96.246400999999892</v>
      </c>
      <c r="H143" s="5">
        <f t="shared" si="11"/>
        <v>-1.7341693873873856</v>
      </c>
    </row>
    <row r="144" spans="1:8" x14ac:dyDescent="0.25">
      <c r="A144" t="s">
        <v>146</v>
      </c>
      <c r="B144">
        <v>194878.8026</v>
      </c>
      <c r="C144">
        <v>204460.6654</v>
      </c>
      <c r="D144">
        <v>6070</v>
      </c>
      <c r="E144" s="5">
        <f t="shared" si="8"/>
        <v>32.105239308072484</v>
      </c>
      <c r="F144" s="5">
        <f t="shared" si="9"/>
        <v>-9581.8628000000026</v>
      </c>
      <c r="G144" s="5">
        <f t="shared" si="10"/>
        <v>-95.818628000000032</v>
      </c>
      <c r="H144" s="5">
        <f t="shared" si="11"/>
        <v>-1.5785605930807254</v>
      </c>
    </row>
    <row r="145" spans="1:8" x14ac:dyDescent="0.25">
      <c r="A145" t="s">
        <v>147</v>
      </c>
      <c r="B145">
        <v>115475.0969</v>
      </c>
      <c r="C145">
        <v>115011.3226</v>
      </c>
      <c r="D145">
        <v>3421</v>
      </c>
      <c r="E145" s="5">
        <f t="shared" si="8"/>
        <v>33.754778398129204</v>
      </c>
      <c r="F145" s="5">
        <f t="shared" si="9"/>
        <v>463.77430000000459</v>
      </c>
      <c r="G145" s="5">
        <f t="shared" si="10"/>
        <v>4.6377430000000457</v>
      </c>
      <c r="H145" s="5">
        <f t="shared" si="11"/>
        <v>0.13556688102894024</v>
      </c>
    </row>
    <row r="146" spans="1:8" x14ac:dyDescent="0.25">
      <c r="A146" t="s">
        <v>148</v>
      </c>
      <c r="B146">
        <v>430521.0245</v>
      </c>
      <c r="C146">
        <v>449274.1863</v>
      </c>
      <c r="D146">
        <v>13384</v>
      </c>
      <c r="E146" s="5">
        <f t="shared" si="8"/>
        <v>32.166842834728037</v>
      </c>
      <c r="F146" s="5">
        <f t="shared" si="9"/>
        <v>-18753.161800000002</v>
      </c>
      <c r="G146" s="5">
        <f t="shared" si="10"/>
        <v>-187.53161800000001</v>
      </c>
      <c r="H146" s="5">
        <f t="shared" si="11"/>
        <v>-1.4011627166766289</v>
      </c>
    </row>
    <row r="147" spans="1:8" x14ac:dyDescent="0.25">
      <c r="A147" t="s">
        <v>149</v>
      </c>
      <c r="B147">
        <v>590642.82570000004</v>
      </c>
      <c r="C147">
        <v>614245.79410000006</v>
      </c>
      <c r="D147">
        <v>18356</v>
      </c>
      <c r="E147" s="5">
        <f t="shared" si="8"/>
        <v>32.177098806929614</v>
      </c>
      <c r="F147" s="5">
        <f t="shared" si="9"/>
        <v>-23602.968400000012</v>
      </c>
      <c r="G147" s="5">
        <f t="shared" si="10"/>
        <v>-236.02968400000012</v>
      </c>
      <c r="H147" s="5">
        <f t="shared" si="11"/>
        <v>-1.2858448681629993</v>
      </c>
    </row>
    <row r="148" spans="1:8" x14ac:dyDescent="0.25">
      <c r="A148" t="s">
        <v>150</v>
      </c>
      <c r="B148">
        <v>210764.71799999999</v>
      </c>
      <c r="C148">
        <v>217364.46299999999</v>
      </c>
      <c r="D148">
        <v>6500</v>
      </c>
      <c r="E148" s="5">
        <f t="shared" si="8"/>
        <v>32.425341230769227</v>
      </c>
      <c r="F148" s="5">
        <f xml:space="preserve"> B148-C148</f>
        <v>-6599.7449999999953</v>
      </c>
      <c r="G148" s="5">
        <f t="shared" si="10"/>
        <v>-65.997449999999958</v>
      </c>
      <c r="H148" s="5">
        <f t="shared" si="11"/>
        <v>-1.0153453846153839</v>
      </c>
    </row>
    <row r="149" spans="1:8" x14ac:dyDescent="0.25">
      <c r="A149" t="s">
        <v>151</v>
      </c>
      <c r="B149">
        <v>218189.34849999999</v>
      </c>
      <c r="C149">
        <v>225607.59520000001</v>
      </c>
      <c r="D149">
        <v>6752</v>
      </c>
      <c r="E149" s="5">
        <f t="shared" si="8"/>
        <v>32.314773178317537</v>
      </c>
      <c r="F149" s="5">
        <f t="shared" ref="F149:F212" si="12" xml:space="preserve"> B149-C149</f>
        <v>-7418.2467000000179</v>
      </c>
      <c r="G149" s="5">
        <f t="shared" si="10"/>
        <v>-74.182467000000173</v>
      </c>
      <c r="H149" s="5">
        <f t="shared" si="11"/>
        <v>-1.0986739780805714</v>
      </c>
    </row>
    <row r="150" spans="1:8" x14ac:dyDescent="0.25">
      <c r="A150" t="s">
        <v>152</v>
      </c>
      <c r="B150">
        <v>226132.4639</v>
      </c>
      <c r="C150">
        <v>234496.5128</v>
      </c>
      <c r="D150">
        <v>7023</v>
      </c>
      <c r="E150" s="5">
        <f t="shared" si="8"/>
        <v>32.198841506478715</v>
      </c>
      <c r="F150" s="5">
        <f t="shared" si="12"/>
        <v>-8364.0488999999943</v>
      </c>
      <c r="G150" s="5">
        <f t="shared" si="10"/>
        <v>-83.640488999999945</v>
      </c>
      <c r="H150" s="5">
        <f t="shared" si="11"/>
        <v>-1.1909510038445101</v>
      </c>
    </row>
    <row r="151" spans="1:8" x14ac:dyDescent="0.25">
      <c r="A151" t="s">
        <v>153</v>
      </c>
      <c r="B151">
        <v>243720.86799999999</v>
      </c>
      <c r="C151">
        <v>252929.2947</v>
      </c>
      <c r="D151">
        <v>7579</v>
      </c>
      <c r="E151" s="5">
        <f t="shared" si="8"/>
        <v>32.157391212561024</v>
      </c>
      <c r="F151" s="5">
        <f t="shared" si="12"/>
        <v>-9208.4267000000109</v>
      </c>
      <c r="G151" s="5">
        <f t="shared" si="10"/>
        <v>-92.084267000000111</v>
      </c>
      <c r="H151" s="5">
        <f t="shared" si="11"/>
        <v>-1.214992307692309</v>
      </c>
    </row>
    <row r="152" spans="1:8" x14ac:dyDescent="0.25">
      <c r="A152" t="s">
        <v>154</v>
      </c>
      <c r="B152">
        <v>207429.429</v>
      </c>
      <c r="C152">
        <v>215118.84650000001</v>
      </c>
      <c r="D152">
        <v>6448</v>
      </c>
      <c r="E152" s="5">
        <f t="shared" si="8"/>
        <v>32.169576457816376</v>
      </c>
      <c r="F152" s="5">
        <f t="shared" si="12"/>
        <v>-7689.4175000000105</v>
      </c>
      <c r="G152" s="5">
        <f t="shared" si="10"/>
        <v>-76.894175000000104</v>
      </c>
      <c r="H152" s="5">
        <f t="shared" si="11"/>
        <v>-1.1925275279156344</v>
      </c>
    </row>
    <row r="153" spans="1:8" x14ac:dyDescent="0.25">
      <c r="A153" t="s">
        <v>155</v>
      </c>
      <c r="B153">
        <v>503149.4313</v>
      </c>
      <c r="C153">
        <v>521651.08610000001</v>
      </c>
      <c r="D153">
        <v>15637</v>
      </c>
      <c r="E153" s="5">
        <f t="shared" si="8"/>
        <v>32.17685178103217</v>
      </c>
      <c r="F153" s="5">
        <f t="shared" si="12"/>
        <v>-18501.654800000018</v>
      </c>
      <c r="G153" s="5">
        <f t="shared" si="10"/>
        <v>-185.01654800000017</v>
      </c>
      <c r="H153" s="5">
        <f t="shared" si="11"/>
        <v>-1.1831972117413838</v>
      </c>
    </row>
    <row r="154" spans="1:8" x14ac:dyDescent="0.25">
      <c r="A154" t="s">
        <v>156</v>
      </c>
      <c r="B154">
        <v>603748.78949999996</v>
      </c>
      <c r="C154">
        <v>626259.38679999998</v>
      </c>
      <c r="D154">
        <v>18775</v>
      </c>
      <c r="E154" s="5">
        <f t="shared" si="8"/>
        <v>32.157059360852195</v>
      </c>
      <c r="F154" s="5">
        <f t="shared" si="12"/>
        <v>-22510.597300000023</v>
      </c>
      <c r="G154" s="5">
        <f t="shared" si="10"/>
        <v>-225.10597300000023</v>
      </c>
      <c r="H154" s="5">
        <f t="shared" si="11"/>
        <v>-1.1989665672436762</v>
      </c>
    </row>
    <row r="155" spans="1:8" x14ac:dyDescent="0.25">
      <c r="A155" t="s">
        <v>157</v>
      </c>
      <c r="B155">
        <v>456017.46309999999</v>
      </c>
      <c r="C155">
        <v>473223.98070000001</v>
      </c>
      <c r="D155">
        <v>14188</v>
      </c>
      <c r="E155" s="5">
        <f t="shared" si="8"/>
        <v>32.141067317451366</v>
      </c>
      <c r="F155" s="5">
        <f t="shared" si="12"/>
        <v>-17206.517600000021</v>
      </c>
      <c r="G155" s="5">
        <f t="shared" si="10"/>
        <v>-172.06517600000021</v>
      </c>
      <c r="H155" s="5">
        <f t="shared" si="11"/>
        <v>-1.212751451931211</v>
      </c>
    </row>
    <row r="156" spans="1:8" x14ac:dyDescent="0.25">
      <c r="A156" t="s">
        <v>158</v>
      </c>
      <c r="B156">
        <v>425845.196</v>
      </c>
      <c r="C156">
        <v>442155.99119999999</v>
      </c>
      <c r="D156">
        <v>13256</v>
      </c>
      <c r="E156" s="5">
        <f t="shared" si="8"/>
        <v>32.124713035606518</v>
      </c>
      <c r="F156" s="5">
        <f t="shared" si="12"/>
        <v>-16310.795199999993</v>
      </c>
      <c r="G156" s="5">
        <f t="shared" si="10"/>
        <v>-163.10795199999993</v>
      </c>
      <c r="H156" s="5">
        <f t="shared" si="11"/>
        <v>-1.2304462281231134</v>
      </c>
    </row>
    <row r="157" spans="1:8" x14ac:dyDescent="0.25">
      <c r="A157" t="s">
        <v>159</v>
      </c>
      <c r="B157">
        <v>328217.77</v>
      </c>
      <c r="C157">
        <v>340913.59169999999</v>
      </c>
      <c r="D157">
        <v>10223</v>
      </c>
      <c r="E157" s="5">
        <f t="shared" si="8"/>
        <v>32.105817274772576</v>
      </c>
      <c r="F157" s="5">
        <f t="shared" si="12"/>
        <v>-12695.821699999971</v>
      </c>
      <c r="G157" s="5">
        <f t="shared" si="10"/>
        <v>-126.95821699999971</v>
      </c>
      <c r="H157" s="5">
        <f t="shared" si="11"/>
        <v>-1.2418880661254006</v>
      </c>
    </row>
    <row r="158" spans="1:8" x14ac:dyDescent="0.25">
      <c r="A158" t="s">
        <v>160</v>
      </c>
      <c r="B158">
        <v>286405.9988</v>
      </c>
      <c r="C158">
        <v>296902.67249999999</v>
      </c>
      <c r="D158">
        <v>8904</v>
      </c>
      <c r="E158" s="5">
        <f t="shared" si="8"/>
        <v>32.165992677448337</v>
      </c>
      <c r="F158" s="5">
        <f t="shared" si="12"/>
        <v>-10496.673699999985</v>
      </c>
      <c r="G158" s="5">
        <f t="shared" si="10"/>
        <v>-104.96673699999985</v>
      </c>
      <c r="H158" s="5">
        <f t="shared" si="11"/>
        <v>-1.1788717093441132</v>
      </c>
    </row>
    <row r="159" spans="1:8" x14ac:dyDescent="0.25">
      <c r="A159" t="s">
        <v>161</v>
      </c>
      <c r="B159">
        <v>184989.88870000001</v>
      </c>
      <c r="C159">
        <v>192824.89009999999</v>
      </c>
      <c r="D159">
        <v>5783</v>
      </c>
      <c r="E159" s="5">
        <f t="shared" si="8"/>
        <v>31.988567992391495</v>
      </c>
      <c r="F159" s="5">
        <f t="shared" si="12"/>
        <v>-7835.0013999999792</v>
      </c>
      <c r="G159" s="5">
        <f t="shared" si="10"/>
        <v>-78.350013999999788</v>
      </c>
      <c r="H159" s="5">
        <f t="shared" si="11"/>
        <v>-1.3548333736814766</v>
      </c>
    </row>
    <row r="160" spans="1:8" x14ac:dyDescent="0.25">
      <c r="A160" t="s">
        <v>162</v>
      </c>
      <c r="B160">
        <v>288118.30440000002</v>
      </c>
      <c r="C160">
        <v>300213.55940000003</v>
      </c>
      <c r="D160">
        <v>9005</v>
      </c>
      <c r="E160" s="5">
        <f t="shared" si="8"/>
        <v>31.995369727928932</v>
      </c>
      <c r="F160" s="5">
        <f t="shared" si="12"/>
        <v>-12095.255000000005</v>
      </c>
      <c r="G160" s="5">
        <f t="shared" si="10"/>
        <v>-120.95255000000004</v>
      </c>
      <c r="H160" s="5">
        <f t="shared" si="11"/>
        <v>-1.3431710161021659</v>
      </c>
    </row>
    <row r="161" spans="1:8" x14ac:dyDescent="0.25">
      <c r="A161" t="s">
        <v>163</v>
      </c>
      <c r="B161">
        <v>391930.87800000003</v>
      </c>
      <c r="C161">
        <v>407438.91960000002</v>
      </c>
      <c r="D161">
        <v>12222</v>
      </c>
      <c r="E161" s="5">
        <f t="shared" si="8"/>
        <v>32.067654884634265</v>
      </c>
      <c r="F161" s="5">
        <f t="shared" si="12"/>
        <v>-15508.041599999997</v>
      </c>
      <c r="G161" s="5">
        <f t="shared" si="10"/>
        <v>-155.08041599999996</v>
      </c>
      <c r="H161" s="5">
        <f t="shared" si="11"/>
        <v>-1.2688628375061362</v>
      </c>
    </row>
    <row r="162" spans="1:8" x14ac:dyDescent="0.25">
      <c r="A162" t="s">
        <v>164</v>
      </c>
      <c r="B162">
        <v>193772.58110000001</v>
      </c>
      <c r="C162">
        <v>201254.71249999999</v>
      </c>
      <c r="D162">
        <v>6037</v>
      </c>
      <c r="E162" s="5">
        <f t="shared" si="8"/>
        <v>32.097495626967039</v>
      </c>
      <c r="F162" s="5">
        <f t="shared" si="12"/>
        <v>-7482.1313999999838</v>
      </c>
      <c r="G162" s="5">
        <f t="shared" si="10"/>
        <v>-74.821313999999845</v>
      </c>
      <c r="H162" s="5">
        <f t="shared" si="11"/>
        <v>-1.2393790624482333</v>
      </c>
    </row>
    <row r="163" spans="1:8" x14ac:dyDescent="0.25">
      <c r="A163" t="s">
        <v>165</v>
      </c>
      <c r="B163">
        <v>214177.9834</v>
      </c>
      <c r="C163">
        <v>220255.21919999999</v>
      </c>
      <c r="D163">
        <v>6607</v>
      </c>
      <c r="E163" s="5">
        <f t="shared" si="8"/>
        <v>32.416828121689115</v>
      </c>
      <c r="F163" s="5">
        <f t="shared" si="12"/>
        <v>-6077.2357999999949</v>
      </c>
      <c r="G163" s="5">
        <f t="shared" si="10"/>
        <v>-60.772357999999947</v>
      </c>
      <c r="H163" s="5">
        <f t="shared" si="11"/>
        <v>-0.91981773876191841</v>
      </c>
    </row>
    <row r="164" spans="1:8" x14ac:dyDescent="0.25">
      <c r="A164" t="s">
        <v>166</v>
      </c>
      <c r="B164">
        <v>188334.52119999999</v>
      </c>
      <c r="C164">
        <v>195254.78099999999</v>
      </c>
      <c r="D164">
        <v>5857</v>
      </c>
      <c r="E164" s="5">
        <f t="shared" si="8"/>
        <v>32.155458630698305</v>
      </c>
      <c r="F164" s="5">
        <f t="shared" si="12"/>
        <v>-6920.2597999999998</v>
      </c>
      <c r="G164" s="5">
        <f t="shared" si="10"/>
        <v>-69.202597999999995</v>
      </c>
      <c r="H164" s="5">
        <f t="shared" si="11"/>
        <v>-1.1815365886972853</v>
      </c>
    </row>
    <row r="165" spans="1:8" x14ac:dyDescent="0.25">
      <c r="A165" t="s">
        <v>167</v>
      </c>
      <c r="B165">
        <v>174324.99479999999</v>
      </c>
      <c r="C165">
        <v>180978.601</v>
      </c>
      <c r="D165">
        <v>5429</v>
      </c>
      <c r="E165" s="5">
        <f t="shared" si="8"/>
        <v>32.109964044943816</v>
      </c>
      <c r="F165" s="5">
        <f t="shared" si="12"/>
        <v>-6653.6062000000093</v>
      </c>
      <c r="G165" s="5">
        <f t="shared" si="10"/>
        <v>-66.536062000000086</v>
      </c>
      <c r="H165" s="5">
        <f t="shared" si="11"/>
        <v>-1.225567544667528</v>
      </c>
    </row>
    <row r="166" spans="1:8" x14ac:dyDescent="0.25">
      <c r="A166" t="s">
        <v>168</v>
      </c>
      <c r="B166">
        <v>200271.5643</v>
      </c>
      <c r="C166">
        <v>207757.70300000001</v>
      </c>
      <c r="D166">
        <v>6232</v>
      </c>
      <c r="E166" s="5">
        <f t="shared" si="8"/>
        <v>32.136001973684209</v>
      </c>
      <c r="F166" s="5">
        <f t="shared" si="12"/>
        <v>-7486.1387000000104</v>
      </c>
      <c r="G166" s="5">
        <f t="shared" si="10"/>
        <v>-74.861387000000107</v>
      </c>
      <c r="H166" s="5">
        <f t="shared" si="11"/>
        <v>-1.2012417682926846</v>
      </c>
    </row>
    <row r="167" spans="1:8" x14ac:dyDescent="0.25">
      <c r="A167" t="s">
        <v>169</v>
      </c>
      <c r="B167">
        <v>468701.63020000001</v>
      </c>
      <c r="C167">
        <v>486180.54440000001</v>
      </c>
      <c r="D167">
        <v>14585</v>
      </c>
      <c r="E167" s="5">
        <f t="shared" si="8"/>
        <v>32.135867685978745</v>
      </c>
      <c r="F167" s="5">
        <f t="shared" si="12"/>
        <v>-17478.914199999999</v>
      </c>
      <c r="G167" s="5">
        <f t="shared" si="10"/>
        <v>-174.789142</v>
      </c>
      <c r="H167" s="5">
        <f t="shared" si="11"/>
        <v>-1.1984171546109015</v>
      </c>
    </row>
    <row r="168" spans="1:8" x14ac:dyDescent="0.25">
      <c r="A168" t="s">
        <v>170</v>
      </c>
      <c r="B168">
        <v>473425.75420000002</v>
      </c>
      <c r="C168">
        <v>492135.29229999997</v>
      </c>
      <c r="D168">
        <v>14745</v>
      </c>
      <c r="E168" s="5">
        <f t="shared" si="8"/>
        <v>32.107545215327228</v>
      </c>
      <c r="F168" s="5">
        <f t="shared" si="12"/>
        <v>-18709.538099999947</v>
      </c>
      <c r="G168" s="5">
        <f t="shared" si="10"/>
        <v>-187.09538099999946</v>
      </c>
      <c r="H168" s="5">
        <f t="shared" si="11"/>
        <v>-1.2688733875890097</v>
      </c>
    </row>
    <row r="169" spans="1:8" x14ac:dyDescent="0.25">
      <c r="A169" t="s">
        <v>171</v>
      </c>
      <c r="B169">
        <v>224232.1214</v>
      </c>
      <c r="C169">
        <v>233554.03219999999</v>
      </c>
      <c r="D169">
        <v>6991</v>
      </c>
      <c r="E169" s="5">
        <f t="shared" si="8"/>
        <v>32.074398712630526</v>
      </c>
      <c r="F169" s="5">
        <f t="shared" si="12"/>
        <v>-9321.9107999999833</v>
      </c>
      <c r="G169" s="5">
        <f t="shared" si="10"/>
        <v>-93.219107999999835</v>
      </c>
      <c r="H169" s="5">
        <f t="shared" si="11"/>
        <v>-1.3334159347732775</v>
      </c>
    </row>
    <row r="170" spans="1:8" x14ac:dyDescent="0.25">
      <c r="A170" t="s">
        <v>172</v>
      </c>
      <c r="B170">
        <v>185606.27499999999</v>
      </c>
      <c r="C170">
        <v>193340.31539999999</v>
      </c>
      <c r="D170">
        <v>5788</v>
      </c>
      <c r="E170" s="5">
        <f t="shared" si="8"/>
        <v>32.067428299930889</v>
      </c>
      <c r="F170" s="5">
        <f t="shared" si="12"/>
        <v>-7734.040399999998</v>
      </c>
      <c r="G170" s="5">
        <f t="shared" si="10"/>
        <v>-77.340403999999978</v>
      </c>
      <c r="H170" s="5">
        <f t="shared" si="11"/>
        <v>-1.3362198341395988</v>
      </c>
    </row>
    <row r="171" spans="1:8" x14ac:dyDescent="0.25">
      <c r="A171" t="s">
        <v>173</v>
      </c>
      <c r="B171">
        <v>212687.50940000001</v>
      </c>
      <c r="C171">
        <v>221403.64499999999</v>
      </c>
      <c r="D171">
        <v>6632</v>
      </c>
      <c r="E171" s="5">
        <f t="shared" si="8"/>
        <v>32.069889837153198</v>
      </c>
      <c r="F171" s="5">
        <f t="shared" si="12"/>
        <v>-8716.1355999999796</v>
      </c>
      <c r="G171" s="5">
        <f t="shared" si="10"/>
        <v>-87.161355999999799</v>
      </c>
      <c r="H171" s="5">
        <f t="shared" si="11"/>
        <v>-1.3142544632086821</v>
      </c>
    </row>
    <row r="172" spans="1:8" x14ac:dyDescent="0.25">
      <c r="A172" t="s">
        <v>174</v>
      </c>
      <c r="B172">
        <v>184259.6924</v>
      </c>
      <c r="C172">
        <v>192057.51079999999</v>
      </c>
      <c r="D172">
        <v>5752</v>
      </c>
      <c r="E172" s="5">
        <f t="shared" si="8"/>
        <v>32.034021627260081</v>
      </c>
      <c r="F172" s="5">
        <f t="shared" si="12"/>
        <v>-7797.8183999999892</v>
      </c>
      <c r="G172" s="5">
        <f t="shared" si="10"/>
        <v>-77.978183999999885</v>
      </c>
      <c r="H172" s="5">
        <f t="shared" si="11"/>
        <v>-1.3556707927677312</v>
      </c>
    </row>
    <row r="173" spans="1:8" x14ac:dyDescent="0.25">
      <c r="A173" t="s">
        <v>175</v>
      </c>
      <c r="B173">
        <v>113735.8162</v>
      </c>
      <c r="C173">
        <v>119544.01979999999</v>
      </c>
      <c r="D173">
        <v>3578</v>
      </c>
      <c r="E173" s="5">
        <f t="shared" si="8"/>
        <v>31.787539463387368</v>
      </c>
      <c r="F173" s="5">
        <f t="shared" si="12"/>
        <v>-5808.2035999999935</v>
      </c>
      <c r="G173" s="5">
        <f t="shared" si="10"/>
        <v>-58.082035999999931</v>
      </c>
      <c r="H173" s="5">
        <f t="shared" si="11"/>
        <v>-1.6233101173840117</v>
      </c>
    </row>
    <row r="174" spans="1:8" x14ac:dyDescent="0.25">
      <c r="A174" t="s">
        <v>176</v>
      </c>
      <c r="B174">
        <v>203165.08300000001</v>
      </c>
      <c r="C174">
        <v>205350.64309999999</v>
      </c>
      <c r="D174">
        <v>6119</v>
      </c>
      <c r="E174" s="5">
        <f t="shared" si="8"/>
        <v>33.202334204935447</v>
      </c>
      <c r="F174" s="5">
        <f t="shared" si="12"/>
        <v>-2185.5600999999733</v>
      </c>
      <c r="G174" s="5">
        <f t="shared" si="10"/>
        <v>-21.855600999999734</v>
      </c>
      <c r="H174" s="5">
        <f t="shared" si="11"/>
        <v>-0.35717602549435745</v>
      </c>
    </row>
    <row r="175" spans="1:8" x14ac:dyDescent="0.25">
      <c r="A175" t="s">
        <v>177</v>
      </c>
      <c r="B175">
        <v>203345.24460000001</v>
      </c>
      <c r="C175">
        <v>206918.91260000001</v>
      </c>
      <c r="D175">
        <v>6161</v>
      </c>
      <c r="E175" s="5">
        <f t="shared" si="8"/>
        <v>33.00523366336634</v>
      </c>
      <c r="F175" s="5">
        <f t="shared" si="12"/>
        <v>-3573.6680000000051</v>
      </c>
      <c r="G175" s="5">
        <f t="shared" si="10"/>
        <v>-35.73668000000005</v>
      </c>
      <c r="H175" s="5">
        <f t="shared" si="11"/>
        <v>-0.58004674565817316</v>
      </c>
    </row>
    <row r="176" spans="1:8" x14ac:dyDescent="0.25">
      <c r="A176" t="s">
        <v>178</v>
      </c>
      <c r="B176">
        <v>134944.489</v>
      </c>
      <c r="C176">
        <v>135372.527</v>
      </c>
      <c r="D176">
        <v>4015</v>
      </c>
      <c r="E176" s="5">
        <f t="shared" si="8"/>
        <v>33.610084433374844</v>
      </c>
      <c r="F176" s="5">
        <f t="shared" si="12"/>
        <v>-428.03800000000047</v>
      </c>
      <c r="G176" s="5">
        <f t="shared" si="10"/>
        <v>-4.2803800000000045</v>
      </c>
      <c r="H176" s="5">
        <f t="shared" si="11"/>
        <v>-0.10660971357409725</v>
      </c>
    </row>
    <row r="177" spans="1:8" x14ac:dyDescent="0.25">
      <c r="A177" t="s">
        <v>179</v>
      </c>
      <c r="B177">
        <v>138298.2102</v>
      </c>
      <c r="C177">
        <v>139206.0269</v>
      </c>
      <c r="D177">
        <v>4133</v>
      </c>
      <c r="E177" s="5">
        <f t="shared" si="8"/>
        <v>33.461942947011856</v>
      </c>
      <c r="F177" s="5">
        <f t="shared" si="12"/>
        <v>-907.81669999999576</v>
      </c>
      <c r="G177" s="5">
        <f t="shared" si="10"/>
        <v>-9.0781669999999579</v>
      </c>
      <c r="H177" s="5">
        <f t="shared" si="11"/>
        <v>-0.21965078635373719</v>
      </c>
    </row>
    <row r="178" spans="1:8" x14ac:dyDescent="0.25">
      <c r="A178" t="s">
        <v>180</v>
      </c>
      <c r="B178">
        <v>36692.679859999997</v>
      </c>
      <c r="C178">
        <v>35299.06424</v>
      </c>
      <c r="D178">
        <v>1047</v>
      </c>
      <c r="E178" s="5">
        <f t="shared" si="8"/>
        <v>35.04553950334288</v>
      </c>
      <c r="F178" s="5">
        <f t="shared" si="12"/>
        <v>1393.6156199999969</v>
      </c>
      <c r="G178" s="5">
        <f t="shared" si="10"/>
        <v>13.936156199999969</v>
      </c>
      <c r="H178" s="5">
        <f t="shared" si="11"/>
        <v>1.331055988538679</v>
      </c>
    </row>
    <row r="179" spans="1:8" x14ac:dyDescent="0.25">
      <c r="A179" t="s">
        <v>181</v>
      </c>
      <c r="B179">
        <v>56077.542690000002</v>
      </c>
      <c r="C179">
        <v>53925.25763</v>
      </c>
      <c r="D179">
        <v>1601</v>
      </c>
      <c r="E179" s="5">
        <f t="shared" si="8"/>
        <v>35.026572573391633</v>
      </c>
      <c r="F179" s="5">
        <f t="shared" si="12"/>
        <v>2152.285060000002</v>
      </c>
      <c r="G179" s="5">
        <f t="shared" si="10"/>
        <v>21.522850600000019</v>
      </c>
      <c r="H179" s="5">
        <f t="shared" si="11"/>
        <v>1.344337951280451</v>
      </c>
    </row>
    <row r="180" spans="1:8" x14ac:dyDescent="0.25">
      <c r="A180" t="s">
        <v>182</v>
      </c>
      <c r="B180">
        <v>55780.707450000002</v>
      </c>
      <c r="C180">
        <v>53688.241199999997</v>
      </c>
      <c r="D180">
        <v>1592</v>
      </c>
      <c r="E180" s="5">
        <f t="shared" si="8"/>
        <v>35.038132820351763</v>
      </c>
      <c r="F180" s="5">
        <f t="shared" si="12"/>
        <v>2092.4662500000049</v>
      </c>
      <c r="G180" s="5">
        <f t="shared" si="10"/>
        <v>20.92466250000005</v>
      </c>
      <c r="H180" s="5">
        <f t="shared" si="11"/>
        <v>1.3143632223618122</v>
      </c>
    </row>
    <row r="181" spans="1:8" x14ac:dyDescent="0.25">
      <c r="A181" t="s">
        <v>183</v>
      </c>
      <c r="B181">
        <v>131721.2383</v>
      </c>
      <c r="C181">
        <v>127302.4271</v>
      </c>
      <c r="D181">
        <v>3759</v>
      </c>
      <c r="E181" s="5">
        <f t="shared" si="8"/>
        <v>35.041563793562119</v>
      </c>
      <c r="F181" s="5">
        <f t="shared" si="12"/>
        <v>4418.8111999999965</v>
      </c>
      <c r="G181" s="5">
        <f t="shared" si="10"/>
        <v>44.188111999999961</v>
      </c>
      <c r="H181" s="5">
        <f t="shared" si="11"/>
        <v>1.1755283852088312</v>
      </c>
    </row>
    <row r="182" spans="1:8" x14ac:dyDescent="0.25">
      <c r="A182" t="s">
        <v>184</v>
      </c>
      <c r="B182">
        <v>146169.0766</v>
      </c>
      <c r="C182">
        <v>141012.32939999999</v>
      </c>
      <c r="D182">
        <v>4172</v>
      </c>
      <c r="E182" s="5">
        <f t="shared" si="8"/>
        <v>35.03573264621285</v>
      </c>
      <c r="F182" s="5">
        <f t="shared" si="12"/>
        <v>5156.7472000000125</v>
      </c>
      <c r="G182" s="5">
        <f t="shared" si="10"/>
        <v>51.567472000000123</v>
      </c>
      <c r="H182" s="5">
        <f t="shared" si="11"/>
        <v>1.2360372003835121</v>
      </c>
    </row>
    <row r="183" spans="1:8" x14ac:dyDescent="0.25">
      <c r="A183" t="s">
        <v>185</v>
      </c>
      <c r="B183">
        <v>62073.58541</v>
      </c>
      <c r="C183">
        <v>60083.869839999999</v>
      </c>
      <c r="D183">
        <v>1772</v>
      </c>
      <c r="E183" s="5">
        <f t="shared" si="8"/>
        <v>35.03024007336343</v>
      </c>
      <c r="F183" s="5">
        <f t="shared" si="12"/>
        <v>1989.7155700000003</v>
      </c>
      <c r="G183" s="5">
        <f t="shared" si="10"/>
        <v>19.897155700000003</v>
      </c>
      <c r="H183" s="5">
        <f t="shared" si="11"/>
        <v>1.1228643171557564</v>
      </c>
    </row>
    <row r="184" spans="1:8" x14ac:dyDescent="0.25">
      <c r="A184" t="s">
        <v>186</v>
      </c>
      <c r="B184">
        <v>93619.846990000005</v>
      </c>
      <c r="C184">
        <v>90294.376090000005</v>
      </c>
      <c r="D184">
        <v>2672</v>
      </c>
      <c r="E184" s="5">
        <f t="shared" si="8"/>
        <v>35.037367885479043</v>
      </c>
      <c r="F184" s="5">
        <f t="shared" si="12"/>
        <v>3325.4709000000003</v>
      </c>
      <c r="G184" s="5">
        <f t="shared" si="10"/>
        <v>33.254709000000005</v>
      </c>
      <c r="H184" s="5">
        <f t="shared" si="11"/>
        <v>1.2445624625748504</v>
      </c>
    </row>
    <row r="185" spans="1:8" x14ac:dyDescent="0.25">
      <c r="A185" t="s">
        <v>187</v>
      </c>
      <c r="B185">
        <v>180183.03140000001</v>
      </c>
      <c r="C185">
        <v>173842.9209</v>
      </c>
      <c r="D185">
        <v>5143</v>
      </c>
      <c r="E185" s="5">
        <f t="shared" si="8"/>
        <v>35.034616255104027</v>
      </c>
      <c r="F185" s="5">
        <f t="shared" si="12"/>
        <v>6340.1105000000098</v>
      </c>
      <c r="G185" s="5">
        <f t="shared" si="10"/>
        <v>63.401105000000101</v>
      </c>
      <c r="H185" s="5">
        <f t="shared" si="11"/>
        <v>1.2327650204161014</v>
      </c>
    </row>
    <row r="186" spans="1:8" x14ac:dyDescent="0.25">
      <c r="A186" t="s">
        <v>188</v>
      </c>
      <c r="B186">
        <v>104760.7062</v>
      </c>
      <c r="C186">
        <v>101615.732</v>
      </c>
      <c r="D186">
        <v>2990</v>
      </c>
      <c r="E186" s="5">
        <f t="shared" si="8"/>
        <v>35.037025484949829</v>
      </c>
      <c r="F186" s="5">
        <f t="shared" si="12"/>
        <v>3144.9741999999969</v>
      </c>
      <c r="G186" s="5">
        <f t="shared" si="10"/>
        <v>31.449741999999969</v>
      </c>
      <c r="H186" s="5">
        <f t="shared" si="11"/>
        <v>1.0518308361204003</v>
      </c>
    </row>
    <row r="187" spans="1:8" x14ac:dyDescent="0.25">
      <c r="A187" t="s">
        <v>189</v>
      </c>
      <c r="B187">
        <v>93450.533679999993</v>
      </c>
      <c r="C187">
        <v>90927.089659999998</v>
      </c>
      <c r="D187">
        <v>2667</v>
      </c>
      <c r="E187" s="5">
        <f t="shared" si="8"/>
        <v>35.039570183727029</v>
      </c>
      <c r="F187" s="5">
        <f t="shared" si="12"/>
        <v>2523.4440199999954</v>
      </c>
      <c r="G187" s="5">
        <f t="shared" si="10"/>
        <v>25.234440199999952</v>
      </c>
      <c r="H187" s="5">
        <f t="shared" si="11"/>
        <v>0.9461732358455176</v>
      </c>
    </row>
    <row r="188" spans="1:8" x14ac:dyDescent="0.25">
      <c r="A188" t="s">
        <v>190</v>
      </c>
      <c r="B188">
        <v>98087.555900000007</v>
      </c>
      <c r="C188">
        <v>95423.273990000002</v>
      </c>
      <c r="D188">
        <v>2799</v>
      </c>
      <c r="E188" s="5">
        <f t="shared" si="8"/>
        <v>35.043785602000717</v>
      </c>
      <c r="F188" s="5">
        <f t="shared" si="12"/>
        <v>2664.2819100000052</v>
      </c>
      <c r="G188" s="5">
        <f t="shared" si="10"/>
        <v>26.64281910000005</v>
      </c>
      <c r="H188" s="5">
        <f t="shared" si="11"/>
        <v>0.95186920685959453</v>
      </c>
    </row>
    <row r="189" spans="1:8" x14ac:dyDescent="0.25">
      <c r="A189" t="s">
        <v>191</v>
      </c>
      <c r="B189">
        <v>117562.2629</v>
      </c>
      <c r="C189">
        <v>114395.62760000001</v>
      </c>
      <c r="D189">
        <v>3355</v>
      </c>
      <c r="E189" s="5">
        <f t="shared" si="8"/>
        <v>35.040912935916545</v>
      </c>
      <c r="F189" s="5">
        <f t="shared" si="12"/>
        <v>3166.6352999999945</v>
      </c>
      <c r="G189" s="5">
        <f t="shared" si="10"/>
        <v>31.666352999999944</v>
      </c>
      <c r="H189" s="5">
        <f t="shared" si="11"/>
        <v>0.94385552906110115</v>
      </c>
    </row>
    <row r="190" spans="1:8" x14ac:dyDescent="0.25">
      <c r="A190" t="s">
        <v>192</v>
      </c>
      <c r="B190">
        <v>70153.080969999995</v>
      </c>
      <c r="C190">
        <v>68252.242209999997</v>
      </c>
      <c r="D190">
        <v>2002</v>
      </c>
      <c r="E190" s="5">
        <f t="shared" si="8"/>
        <v>35.041498986013984</v>
      </c>
      <c r="F190" s="5">
        <f t="shared" si="12"/>
        <v>1900.8387599999987</v>
      </c>
      <c r="G190" s="5">
        <f t="shared" si="10"/>
        <v>19.008387599999988</v>
      </c>
      <c r="H190" s="5">
        <f t="shared" si="11"/>
        <v>0.94946991008990944</v>
      </c>
    </row>
    <row r="191" spans="1:8" x14ac:dyDescent="0.25">
      <c r="A191" t="s">
        <v>193</v>
      </c>
      <c r="B191">
        <v>68918.415290000004</v>
      </c>
      <c r="C191">
        <v>66990.881349999996</v>
      </c>
      <c r="D191">
        <v>1967</v>
      </c>
      <c r="E191" s="5">
        <f t="shared" si="8"/>
        <v>35.0373234824606</v>
      </c>
      <c r="F191" s="5">
        <f t="shared" si="12"/>
        <v>1927.5339400000084</v>
      </c>
      <c r="G191" s="5">
        <f t="shared" si="10"/>
        <v>19.275339400000085</v>
      </c>
      <c r="H191" s="5">
        <f t="shared" si="11"/>
        <v>0.97993591255719803</v>
      </c>
    </row>
    <row r="192" spans="1:8" x14ac:dyDescent="0.25">
      <c r="A192" t="s">
        <v>194</v>
      </c>
      <c r="B192">
        <v>108417.4028</v>
      </c>
      <c r="C192">
        <v>105373.3</v>
      </c>
      <c r="D192">
        <v>3094</v>
      </c>
      <c r="E192" s="5">
        <f t="shared" si="8"/>
        <v>35.04117737556561</v>
      </c>
      <c r="F192" s="5">
        <f t="shared" si="12"/>
        <v>3044.1027999999933</v>
      </c>
      <c r="G192" s="5">
        <f t="shared" si="10"/>
        <v>30.441027999999932</v>
      </c>
      <c r="H192" s="5">
        <f t="shared" si="11"/>
        <v>0.98387291531997201</v>
      </c>
    </row>
    <row r="193" spans="1:8" x14ac:dyDescent="0.25">
      <c r="A193" t="s">
        <v>195</v>
      </c>
      <c r="B193">
        <v>81802.608210000006</v>
      </c>
      <c r="C193">
        <v>79496.49424</v>
      </c>
      <c r="D193">
        <v>2335</v>
      </c>
      <c r="E193" s="5">
        <f t="shared" si="8"/>
        <v>35.033236920770882</v>
      </c>
      <c r="F193" s="5">
        <f t="shared" si="12"/>
        <v>2306.1139700000058</v>
      </c>
      <c r="G193" s="5">
        <f t="shared" si="10"/>
        <v>23.061139700000059</v>
      </c>
      <c r="H193" s="5">
        <f t="shared" si="11"/>
        <v>0.9876291092077113</v>
      </c>
    </row>
    <row r="194" spans="1:8" x14ac:dyDescent="0.25">
      <c r="A194" t="s">
        <v>196</v>
      </c>
      <c r="B194">
        <v>103998.5597</v>
      </c>
      <c r="C194">
        <v>101270.9711</v>
      </c>
      <c r="D194">
        <v>2968</v>
      </c>
      <c r="E194" s="5">
        <f t="shared" si="8"/>
        <v>35.039945990566039</v>
      </c>
      <c r="F194" s="5">
        <f t="shared" si="12"/>
        <v>2727.5886000000028</v>
      </c>
      <c r="G194" s="5">
        <f t="shared" si="10"/>
        <v>27.275886000000028</v>
      </c>
      <c r="H194" s="5">
        <f t="shared" si="11"/>
        <v>0.91899885444744034</v>
      </c>
    </row>
    <row r="195" spans="1:8" x14ac:dyDescent="0.25">
      <c r="A195" t="s">
        <v>197</v>
      </c>
      <c r="B195">
        <v>134018.08929999999</v>
      </c>
      <c r="C195">
        <v>130633.26270000001</v>
      </c>
      <c r="D195">
        <v>3825</v>
      </c>
      <c r="E195" s="5">
        <f t="shared" ref="E195:E258" si="13">B195/D195</f>
        <v>35.03740896732026</v>
      </c>
      <c r="F195" s="5">
        <f t="shared" si="12"/>
        <v>3384.8265999999858</v>
      </c>
      <c r="G195" s="5">
        <f t="shared" ref="G195:G258" si="14">F195/100</f>
        <v>33.84826599999986</v>
      </c>
      <c r="H195" s="5">
        <f t="shared" ref="H195:H258" si="15">F195/D195</f>
        <v>0.88492198692810087</v>
      </c>
    </row>
    <row r="196" spans="1:8" x14ac:dyDescent="0.25">
      <c r="A196" t="s">
        <v>198</v>
      </c>
      <c r="B196">
        <v>99277.299499999994</v>
      </c>
      <c r="C196">
        <v>96688.497810000001</v>
      </c>
      <c r="D196">
        <v>2833</v>
      </c>
      <c r="E196" s="5">
        <f t="shared" si="13"/>
        <v>35.043169608189196</v>
      </c>
      <c r="F196" s="5">
        <f t="shared" si="12"/>
        <v>2588.801689999993</v>
      </c>
      <c r="G196" s="5">
        <f t="shared" si="14"/>
        <v>25.888016899999929</v>
      </c>
      <c r="H196" s="5">
        <f t="shared" si="15"/>
        <v>0.91380222026120472</v>
      </c>
    </row>
    <row r="197" spans="1:8" x14ac:dyDescent="0.25">
      <c r="A197" t="s">
        <v>199</v>
      </c>
      <c r="B197">
        <v>49705.232000000004</v>
      </c>
      <c r="C197">
        <v>48370.308989999998</v>
      </c>
      <c r="D197">
        <v>1419</v>
      </c>
      <c r="E197" s="5">
        <f t="shared" si="13"/>
        <v>35.028352360817479</v>
      </c>
      <c r="F197" s="5">
        <f t="shared" si="12"/>
        <v>1334.9230100000059</v>
      </c>
      <c r="G197" s="5">
        <f t="shared" si="14"/>
        <v>13.349230100000058</v>
      </c>
      <c r="H197" s="5">
        <f t="shared" si="15"/>
        <v>0.94074912614517681</v>
      </c>
    </row>
    <row r="198" spans="1:8" x14ac:dyDescent="0.25">
      <c r="A198" t="s">
        <v>200</v>
      </c>
      <c r="B198">
        <v>75384.574550000005</v>
      </c>
      <c r="C198">
        <v>73393.446590000007</v>
      </c>
      <c r="D198">
        <v>2151</v>
      </c>
      <c r="E198" s="5">
        <f t="shared" si="13"/>
        <v>35.046292212924222</v>
      </c>
      <c r="F198" s="5">
        <f t="shared" si="12"/>
        <v>1991.127959999998</v>
      </c>
      <c r="G198" s="5">
        <f t="shared" si="14"/>
        <v>19.911279599999979</v>
      </c>
      <c r="H198" s="5">
        <f t="shared" si="15"/>
        <v>0.92567548117154719</v>
      </c>
    </row>
    <row r="199" spans="1:8" x14ac:dyDescent="0.25">
      <c r="A199" t="s">
        <v>201</v>
      </c>
      <c r="B199">
        <v>110288.23420000001</v>
      </c>
      <c r="C199">
        <v>107437.38099999999</v>
      </c>
      <c r="D199">
        <v>3148</v>
      </c>
      <c r="E199" s="5">
        <f t="shared" si="13"/>
        <v>35.034381893265568</v>
      </c>
      <c r="F199" s="5">
        <f t="shared" si="12"/>
        <v>2850.8532000000123</v>
      </c>
      <c r="G199" s="5">
        <f t="shared" si="14"/>
        <v>28.508532000000123</v>
      </c>
      <c r="H199" s="5">
        <f t="shared" si="15"/>
        <v>0.90560775095298995</v>
      </c>
    </row>
    <row r="200" spans="1:8" x14ac:dyDescent="0.25">
      <c r="A200" t="s">
        <v>202</v>
      </c>
      <c r="B200">
        <v>156536.6862</v>
      </c>
      <c r="C200">
        <v>164641.35399999999</v>
      </c>
      <c r="D200">
        <v>4825</v>
      </c>
      <c r="E200" s="5">
        <f t="shared" si="13"/>
        <v>32.442836518134712</v>
      </c>
      <c r="F200" s="5">
        <f t="shared" si="12"/>
        <v>-8104.6677999999956</v>
      </c>
      <c r="G200" s="5">
        <f t="shared" si="14"/>
        <v>-81.046677999999957</v>
      </c>
      <c r="H200" s="5">
        <f t="shared" si="15"/>
        <v>-1.6797238963730561</v>
      </c>
    </row>
    <row r="201" spans="1:8" x14ac:dyDescent="0.25">
      <c r="A201" t="s">
        <v>203</v>
      </c>
      <c r="B201">
        <v>80823.059200000003</v>
      </c>
      <c r="C201">
        <v>78844.860499999995</v>
      </c>
      <c r="D201">
        <v>2307</v>
      </c>
      <c r="E201" s="5">
        <f t="shared" si="13"/>
        <v>35.033835804074556</v>
      </c>
      <c r="F201" s="5">
        <f t="shared" si="12"/>
        <v>1978.1987000000081</v>
      </c>
      <c r="G201" s="5">
        <f t="shared" si="14"/>
        <v>19.781987000000083</v>
      </c>
      <c r="H201" s="5">
        <f t="shared" si="15"/>
        <v>0.8574766796705714</v>
      </c>
    </row>
    <row r="202" spans="1:8" x14ac:dyDescent="0.25">
      <c r="A202" t="s">
        <v>204</v>
      </c>
      <c r="B202">
        <v>124615.6856</v>
      </c>
      <c r="C202">
        <v>121612.1789</v>
      </c>
      <c r="D202">
        <v>3557</v>
      </c>
      <c r="E202" s="5">
        <f t="shared" si="13"/>
        <v>35.033929041326957</v>
      </c>
      <c r="F202" s="5">
        <f t="shared" si="12"/>
        <v>3003.5066999999981</v>
      </c>
      <c r="G202" s="5">
        <f t="shared" si="14"/>
        <v>30.03506699999998</v>
      </c>
      <c r="H202" s="5">
        <f t="shared" si="15"/>
        <v>0.84439322462749455</v>
      </c>
    </row>
    <row r="203" spans="1:8" x14ac:dyDescent="0.25">
      <c r="A203" t="s">
        <v>205</v>
      </c>
      <c r="B203">
        <v>242758.95050000001</v>
      </c>
      <c r="C203">
        <v>255779.85449999999</v>
      </c>
      <c r="D203">
        <v>7485</v>
      </c>
      <c r="E203" s="5">
        <f t="shared" si="13"/>
        <v>32.432725517702075</v>
      </c>
      <c r="F203" s="5">
        <f t="shared" si="12"/>
        <v>-13020.90399999998</v>
      </c>
      <c r="G203" s="5">
        <f t="shared" si="14"/>
        <v>-130.20903999999982</v>
      </c>
      <c r="H203" s="5">
        <f t="shared" si="15"/>
        <v>-1.7395997327989285</v>
      </c>
    </row>
    <row r="204" spans="1:8" x14ac:dyDescent="0.25">
      <c r="A204" t="s">
        <v>206</v>
      </c>
      <c r="B204">
        <v>85078.243690000003</v>
      </c>
      <c r="C204">
        <v>83020.514129999996</v>
      </c>
      <c r="D204">
        <v>2428</v>
      </c>
      <c r="E204" s="5">
        <f t="shared" si="13"/>
        <v>35.040462804777597</v>
      </c>
      <c r="F204" s="5">
        <f t="shared" si="12"/>
        <v>2057.729560000007</v>
      </c>
      <c r="G204" s="5">
        <f t="shared" si="14"/>
        <v>20.57729560000007</v>
      </c>
      <c r="H204" s="5">
        <f t="shared" si="15"/>
        <v>0.84749981878089253</v>
      </c>
    </row>
    <row r="205" spans="1:8" x14ac:dyDescent="0.25">
      <c r="A205" t="s">
        <v>207</v>
      </c>
      <c r="B205">
        <v>86738.067429999996</v>
      </c>
      <c r="C205">
        <v>84643.271829999998</v>
      </c>
      <c r="D205">
        <v>2475</v>
      </c>
      <c r="E205" s="5">
        <f t="shared" si="13"/>
        <v>35.045683810101011</v>
      </c>
      <c r="F205" s="5">
        <f t="shared" si="12"/>
        <v>2094.7955999999976</v>
      </c>
      <c r="G205" s="5">
        <f t="shared" si="14"/>
        <v>20.947955999999976</v>
      </c>
      <c r="H205" s="5">
        <f t="shared" si="15"/>
        <v>0.84638206060605969</v>
      </c>
    </row>
    <row r="206" spans="1:8" x14ac:dyDescent="0.25">
      <c r="A206" t="s">
        <v>208</v>
      </c>
      <c r="B206">
        <v>56673.615810000003</v>
      </c>
      <c r="C206">
        <v>55278.707829999999</v>
      </c>
      <c r="D206">
        <v>1618</v>
      </c>
      <c r="E206" s="5">
        <f t="shared" si="13"/>
        <v>35.026956619283069</v>
      </c>
      <c r="F206" s="5">
        <f t="shared" si="12"/>
        <v>1394.9079800000036</v>
      </c>
      <c r="G206" s="5">
        <f t="shared" si="14"/>
        <v>13.949079800000035</v>
      </c>
      <c r="H206" s="5">
        <f t="shared" si="15"/>
        <v>0.86211865265760423</v>
      </c>
    </row>
    <row r="207" spans="1:8" x14ac:dyDescent="0.25">
      <c r="A207" t="s">
        <v>209</v>
      </c>
      <c r="B207">
        <v>165742.17050000001</v>
      </c>
      <c r="C207">
        <v>173725.35750000001</v>
      </c>
      <c r="D207">
        <v>5106</v>
      </c>
      <c r="E207" s="5">
        <f t="shared" si="13"/>
        <v>32.460276243634944</v>
      </c>
      <c r="F207" s="5">
        <f t="shared" si="12"/>
        <v>-7983.1870000000054</v>
      </c>
      <c r="G207" s="5">
        <f t="shared" si="14"/>
        <v>-79.831870000000052</v>
      </c>
      <c r="H207" s="5">
        <f t="shared" si="15"/>
        <v>-1.5634913826870358</v>
      </c>
    </row>
    <row r="208" spans="1:8" x14ac:dyDescent="0.25">
      <c r="A208" t="s">
        <v>210</v>
      </c>
      <c r="B208">
        <v>95618.248800000001</v>
      </c>
      <c r="C208">
        <v>92416.903839999999</v>
      </c>
      <c r="D208">
        <v>2729</v>
      </c>
      <c r="E208" s="5">
        <f t="shared" si="13"/>
        <v>35.037833931843167</v>
      </c>
      <c r="F208" s="5">
        <f t="shared" si="12"/>
        <v>3201.3449600000022</v>
      </c>
      <c r="G208" s="5">
        <f t="shared" si="14"/>
        <v>32.013449600000023</v>
      </c>
      <c r="H208" s="5">
        <f t="shared" si="15"/>
        <v>1.1730835324294622</v>
      </c>
    </row>
    <row r="209" spans="1:8" x14ac:dyDescent="0.25">
      <c r="A209" t="s">
        <v>211</v>
      </c>
      <c r="B209">
        <v>515698.79580000002</v>
      </c>
      <c r="C209">
        <v>538260.27179999999</v>
      </c>
      <c r="D209">
        <v>15897</v>
      </c>
      <c r="E209" s="5">
        <f t="shared" si="13"/>
        <v>32.440007284393282</v>
      </c>
      <c r="F209" s="5">
        <f t="shared" si="12"/>
        <v>-22561.475999999966</v>
      </c>
      <c r="G209" s="5">
        <f t="shared" si="14"/>
        <v>-225.61475999999965</v>
      </c>
      <c r="H209" s="5">
        <f t="shared" si="15"/>
        <v>-1.419228533685599</v>
      </c>
    </row>
    <row r="210" spans="1:8" x14ac:dyDescent="0.25">
      <c r="A210" t="s">
        <v>212</v>
      </c>
      <c r="B210">
        <v>562590.3665</v>
      </c>
      <c r="C210">
        <v>586670.51410000003</v>
      </c>
      <c r="D210">
        <v>17343</v>
      </c>
      <c r="E210" s="5">
        <f t="shared" si="13"/>
        <v>32.43904552268927</v>
      </c>
      <c r="F210" s="5">
        <f t="shared" si="12"/>
        <v>-24080.147600000026</v>
      </c>
      <c r="G210" s="5">
        <f t="shared" si="14"/>
        <v>-240.80147600000026</v>
      </c>
      <c r="H210" s="5">
        <f t="shared" si="15"/>
        <v>-1.3884649483941662</v>
      </c>
    </row>
    <row r="211" spans="1:8" x14ac:dyDescent="0.25">
      <c r="A211" t="s">
        <v>213</v>
      </c>
      <c r="B211">
        <v>266305.92589999997</v>
      </c>
      <c r="C211">
        <v>277238.01040000003</v>
      </c>
      <c r="D211">
        <v>8207</v>
      </c>
      <c r="E211" s="5">
        <f t="shared" si="13"/>
        <v>32.448632374801996</v>
      </c>
      <c r="F211" s="5">
        <f t="shared" si="12"/>
        <v>-10932.084500000055</v>
      </c>
      <c r="G211" s="5">
        <f t="shared" si="14"/>
        <v>-109.32084500000056</v>
      </c>
      <c r="H211" s="5">
        <f t="shared" si="15"/>
        <v>-1.332043925916907</v>
      </c>
    </row>
    <row r="212" spans="1:8" x14ac:dyDescent="0.25">
      <c r="A212" t="s">
        <v>214</v>
      </c>
      <c r="B212">
        <v>292634.74570000003</v>
      </c>
      <c r="C212">
        <v>304508.37900000002</v>
      </c>
      <c r="D212">
        <v>9018</v>
      </c>
      <c r="E212" s="5">
        <f t="shared" si="13"/>
        <v>32.450071601241966</v>
      </c>
      <c r="F212" s="5">
        <f t="shared" si="12"/>
        <v>-11873.633299999987</v>
      </c>
      <c r="G212" s="5">
        <f t="shared" si="14"/>
        <v>-118.73633299999987</v>
      </c>
      <c r="H212" s="5">
        <f t="shared" si="15"/>
        <v>-1.316659270348191</v>
      </c>
    </row>
    <row r="213" spans="1:8" x14ac:dyDescent="0.25">
      <c r="A213" t="s">
        <v>215</v>
      </c>
      <c r="B213">
        <v>212360.99309999999</v>
      </c>
      <c r="C213">
        <v>221017.07310000001</v>
      </c>
      <c r="D213">
        <v>6548</v>
      </c>
      <c r="E213" s="5">
        <f t="shared" si="13"/>
        <v>32.431428390348195</v>
      </c>
      <c r="F213" s="5">
        <f t="shared" ref="F213:F276" si="16" xml:space="preserve"> B213-C213</f>
        <v>-8656.0800000000163</v>
      </c>
      <c r="G213" s="5">
        <f t="shared" si="14"/>
        <v>-86.560800000000157</v>
      </c>
      <c r="H213" s="5">
        <f t="shared" si="15"/>
        <v>-1.32194257788638</v>
      </c>
    </row>
    <row r="214" spans="1:8" x14ac:dyDescent="0.25">
      <c r="A214" t="s">
        <v>216</v>
      </c>
      <c r="B214">
        <v>198019.3321</v>
      </c>
      <c r="C214">
        <v>205903.82490000001</v>
      </c>
      <c r="D214">
        <v>6102</v>
      </c>
      <c r="E214" s="5">
        <f t="shared" si="13"/>
        <v>32.451545739101931</v>
      </c>
      <c r="F214" s="5">
        <f t="shared" si="16"/>
        <v>-7884.4928000000073</v>
      </c>
      <c r="G214" s="5">
        <f t="shared" si="14"/>
        <v>-78.844928000000067</v>
      </c>
      <c r="H214" s="5">
        <f t="shared" si="15"/>
        <v>-1.2921161586365137</v>
      </c>
    </row>
    <row r="215" spans="1:8" x14ac:dyDescent="0.25">
      <c r="A215" t="s">
        <v>217</v>
      </c>
      <c r="B215">
        <v>295508.3273</v>
      </c>
      <c r="C215">
        <v>307222.39539999998</v>
      </c>
      <c r="D215">
        <v>9108</v>
      </c>
      <c r="E215" s="5">
        <f t="shared" si="13"/>
        <v>32.444919554238034</v>
      </c>
      <c r="F215" s="5">
        <f t="shared" si="16"/>
        <v>-11714.068099999975</v>
      </c>
      <c r="G215" s="5">
        <f t="shared" si="14"/>
        <v>-117.14068099999974</v>
      </c>
      <c r="H215" s="5">
        <f t="shared" si="15"/>
        <v>-1.2861295674132602</v>
      </c>
    </row>
    <row r="216" spans="1:8" x14ac:dyDescent="0.25">
      <c r="A216" t="s">
        <v>218</v>
      </c>
      <c r="B216">
        <v>611894.67319999996</v>
      </c>
      <c r="C216">
        <v>636341.31590000005</v>
      </c>
      <c r="D216">
        <v>18867</v>
      </c>
      <c r="E216" s="5">
        <f t="shared" si="13"/>
        <v>32.432006847935547</v>
      </c>
      <c r="F216" s="5">
        <f t="shared" si="16"/>
        <v>-24446.642700000084</v>
      </c>
      <c r="G216" s="5">
        <f t="shared" si="14"/>
        <v>-244.46642700000083</v>
      </c>
      <c r="H216" s="5">
        <f t="shared" si="15"/>
        <v>-1.2957355541421574</v>
      </c>
    </row>
    <row r="217" spans="1:8" x14ac:dyDescent="0.25">
      <c r="A217" t="s">
        <v>219</v>
      </c>
      <c r="B217">
        <v>628685.21880000003</v>
      </c>
      <c r="C217">
        <v>653779.96349999995</v>
      </c>
      <c r="D217">
        <v>19384</v>
      </c>
      <c r="E217" s="5">
        <f t="shared" si="13"/>
        <v>32.433203611225757</v>
      </c>
      <c r="F217" s="5">
        <f t="shared" si="16"/>
        <v>-25094.744699999923</v>
      </c>
      <c r="G217" s="5">
        <f t="shared" si="14"/>
        <v>-250.94744699999922</v>
      </c>
      <c r="H217" s="5">
        <f t="shared" si="15"/>
        <v>-1.2946112618654522</v>
      </c>
    </row>
    <row r="218" spans="1:8" x14ac:dyDescent="0.25">
      <c r="A218" t="s">
        <v>220</v>
      </c>
      <c r="B218">
        <v>307272.68369999999</v>
      </c>
      <c r="C218">
        <v>319500.00949999999</v>
      </c>
      <c r="D218">
        <v>9473</v>
      </c>
      <c r="E218" s="5">
        <f t="shared" si="13"/>
        <v>32.436681484218305</v>
      </c>
      <c r="F218" s="5">
        <f t="shared" si="16"/>
        <v>-12227.325799999991</v>
      </c>
      <c r="G218" s="5">
        <f t="shared" si="14"/>
        <v>-122.27325799999991</v>
      </c>
      <c r="H218" s="5">
        <f t="shared" si="15"/>
        <v>-1.2907553890003158</v>
      </c>
    </row>
    <row r="219" spans="1:8" x14ac:dyDescent="0.25">
      <c r="A219" t="s">
        <v>221</v>
      </c>
      <c r="B219">
        <v>362106.53259999998</v>
      </c>
      <c r="C219">
        <v>376645.75089999998</v>
      </c>
      <c r="D219">
        <v>11170</v>
      </c>
      <c r="E219" s="5">
        <f t="shared" si="13"/>
        <v>32.417773733213963</v>
      </c>
      <c r="F219" s="5">
        <f t="shared" si="16"/>
        <v>-14539.218300000008</v>
      </c>
      <c r="G219" s="5">
        <f t="shared" si="14"/>
        <v>-145.39218300000007</v>
      </c>
      <c r="H219" s="5">
        <f t="shared" si="15"/>
        <v>-1.301631002685766</v>
      </c>
    </row>
    <row r="220" spans="1:8" x14ac:dyDescent="0.25">
      <c r="A220" t="s">
        <v>222</v>
      </c>
      <c r="B220">
        <v>262349.59100000001</v>
      </c>
      <c r="C220">
        <v>272809.2904</v>
      </c>
      <c r="D220">
        <v>8091</v>
      </c>
      <c r="E220" s="5">
        <f t="shared" si="13"/>
        <v>32.424866023977259</v>
      </c>
      <c r="F220" s="5">
        <f t="shared" si="16"/>
        <v>-10459.699399999983</v>
      </c>
      <c r="G220" s="5">
        <f t="shared" si="14"/>
        <v>-104.59699399999982</v>
      </c>
      <c r="H220" s="5">
        <f t="shared" si="15"/>
        <v>-1.2927573105920138</v>
      </c>
    </row>
    <row r="221" spans="1:8" x14ac:dyDescent="0.25">
      <c r="A221" t="s">
        <v>223</v>
      </c>
      <c r="B221">
        <v>80697.9035</v>
      </c>
      <c r="C221">
        <v>77649.636530000003</v>
      </c>
      <c r="D221">
        <v>2303</v>
      </c>
      <c r="E221" s="5">
        <f t="shared" si="13"/>
        <v>35.040340208423792</v>
      </c>
      <c r="F221" s="5">
        <f t="shared" si="16"/>
        <v>3048.2669699999969</v>
      </c>
      <c r="G221" s="5">
        <f t="shared" si="14"/>
        <v>30.48266969999997</v>
      </c>
      <c r="H221" s="5">
        <f t="shared" si="15"/>
        <v>1.3236070212765945</v>
      </c>
    </row>
    <row r="222" spans="1:8" x14ac:dyDescent="0.25">
      <c r="A222" t="s">
        <v>224</v>
      </c>
      <c r="B222">
        <v>103272.62270000001</v>
      </c>
      <c r="C222">
        <v>99367.233219999995</v>
      </c>
      <c r="D222">
        <v>2947</v>
      </c>
      <c r="E222" s="5">
        <f t="shared" si="13"/>
        <v>35.043305972175098</v>
      </c>
      <c r="F222" s="5">
        <f t="shared" si="16"/>
        <v>3905.3894800000126</v>
      </c>
      <c r="G222" s="5">
        <f t="shared" si="14"/>
        <v>39.053894800000123</v>
      </c>
      <c r="H222" s="5">
        <f t="shared" si="15"/>
        <v>1.3252085103495121</v>
      </c>
    </row>
    <row r="223" spans="1:8" x14ac:dyDescent="0.25">
      <c r="A223" t="s">
        <v>225</v>
      </c>
      <c r="B223">
        <v>439421.42210000003</v>
      </c>
      <c r="C223">
        <v>456509.62190000003</v>
      </c>
      <c r="D223">
        <v>13542</v>
      </c>
      <c r="E223" s="5">
        <f t="shared" si="13"/>
        <v>32.44878320041353</v>
      </c>
      <c r="F223" s="5">
        <f t="shared" si="16"/>
        <v>-17088.199800000002</v>
      </c>
      <c r="G223" s="5">
        <f t="shared" si="14"/>
        <v>-170.88199800000001</v>
      </c>
      <c r="H223" s="5">
        <f t="shared" si="15"/>
        <v>-1.2618667700487374</v>
      </c>
    </row>
    <row r="224" spans="1:8" x14ac:dyDescent="0.25">
      <c r="A224" t="s">
        <v>226</v>
      </c>
      <c r="B224">
        <v>408616.35060000001</v>
      </c>
      <c r="C224">
        <v>424340.94939999998</v>
      </c>
      <c r="D224">
        <v>12588</v>
      </c>
      <c r="E224" s="5">
        <f t="shared" si="13"/>
        <v>32.460784127740709</v>
      </c>
      <c r="F224" s="5">
        <f t="shared" si="16"/>
        <v>-15724.598799999978</v>
      </c>
      <c r="G224" s="5">
        <f t="shared" si="14"/>
        <v>-157.24598799999978</v>
      </c>
      <c r="H224" s="5">
        <f t="shared" si="15"/>
        <v>-1.2491737210041292</v>
      </c>
    </row>
    <row r="225" spans="1:8" x14ac:dyDescent="0.25">
      <c r="A225" t="s">
        <v>227</v>
      </c>
      <c r="B225">
        <v>195866.77299999999</v>
      </c>
      <c r="C225">
        <v>203331.43479999999</v>
      </c>
      <c r="D225">
        <v>6032</v>
      </c>
      <c r="E225" s="5">
        <f t="shared" si="13"/>
        <v>32.471281996021219</v>
      </c>
      <c r="F225" s="5">
        <f t="shared" si="16"/>
        <v>-7464.6618000000017</v>
      </c>
      <c r="G225" s="5">
        <f t="shared" si="14"/>
        <v>-74.646618000000018</v>
      </c>
      <c r="H225" s="5">
        <f t="shared" si="15"/>
        <v>-1.2375102453580904</v>
      </c>
    </row>
    <row r="226" spans="1:8" x14ac:dyDescent="0.25">
      <c r="A226" t="s">
        <v>228</v>
      </c>
      <c r="B226">
        <v>232347.35320000001</v>
      </c>
      <c r="C226">
        <v>241134.52780000001</v>
      </c>
      <c r="D226">
        <v>7158</v>
      </c>
      <c r="E226" s="5">
        <f t="shared" si="13"/>
        <v>32.459814640961163</v>
      </c>
      <c r="F226" s="5">
        <f t="shared" si="16"/>
        <v>-8787.1745999999985</v>
      </c>
      <c r="G226" s="5">
        <f t="shared" si="14"/>
        <v>-87.871745999999987</v>
      </c>
      <c r="H226" s="5">
        <f t="shared" si="15"/>
        <v>-1.2276019279128245</v>
      </c>
    </row>
    <row r="227" spans="1:8" x14ac:dyDescent="0.25">
      <c r="A227" t="s">
        <v>229</v>
      </c>
      <c r="B227">
        <v>190325.18109999999</v>
      </c>
      <c r="C227">
        <v>197438.1116</v>
      </c>
      <c r="D227">
        <v>5863</v>
      </c>
      <c r="E227" s="5">
        <f t="shared" si="13"/>
        <v>32.462081033600541</v>
      </c>
      <c r="F227" s="5">
        <f t="shared" si="16"/>
        <v>-7112.9305000000168</v>
      </c>
      <c r="G227" s="5">
        <f t="shared" si="14"/>
        <v>-71.129305000000173</v>
      </c>
      <c r="H227" s="5">
        <f t="shared" si="15"/>
        <v>-1.2131895787139719</v>
      </c>
    </row>
    <row r="228" spans="1:8" x14ac:dyDescent="0.25">
      <c r="A228" t="s">
        <v>230</v>
      </c>
      <c r="B228">
        <v>197698.11859999999</v>
      </c>
      <c r="C228">
        <v>205114.12890000001</v>
      </c>
      <c r="D228">
        <v>6092</v>
      </c>
      <c r="E228" s="5">
        <f t="shared" si="13"/>
        <v>32.452087754432043</v>
      </c>
      <c r="F228" s="5">
        <f t="shared" si="16"/>
        <v>-7416.0103000000236</v>
      </c>
      <c r="G228" s="5">
        <f t="shared" si="14"/>
        <v>-74.160103000000234</v>
      </c>
      <c r="H228" s="5">
        <f t="shared" si="15"/>
        <v>-1.2173358995403847</v>
      </c>
    </row>
    <row r="229" spans="1:8" x14ac:dyDescent="0.25">
      <c r="A229" t="s">
        <v>231</v>
      </c>
      <c r="B229">
        <v>177908.83559999999</v>
      </c>
      <c r="C229">
        <v>184687.52910000001</v>
      </c>
      <c r="D229">
        <v>5485</v>
      </c>
      <c r="E229" s="5">
        <f t="shared" si="13"/>
        <v>32.435521531449403</v>
      </c>
      <c r="F229" s="5">
        <f t="shared" si="16"/>
        <v>-6778.6935000000231</v>
      </c>
      <c r="G229" s="5">
        <f t="shared" si="14"/>
        <v>-67.786935000000227</v>
      </c>
      <c r="H229" s="5">
        <f t="shared" si="15"/>
        <v>-1.2358602552415721</v>
      </c>
    </row>
    <row r="230" spans="1:8" x14ac:dyDescent="0.25">
      <c r="A230" t="s">
        <v>232</v>
      </c>
      <c r="B230">
        <v>473321.88250000001</v>
      </c>
      <c r="C230">
        <v>491559.42300000001</v>
      </c>
      <c r="D230">
        <v>14587</v>
      </c>
      <c r="E230" s="5">
        <f t="shared" si="13"/>
        <v>32.448199252759309</v>
      </c>
      <c r="F230" s="5">
        <f t="shared" si="16"/>
        <v>-18237.540500000003</v>
      </c>
      <c r="G230" s="5">
        <f t="shared" si="14"/>
        <v>-182.37540500000003</v>
      </c>
      <c r="H230" s="5">
        <f t="shared" si="15"/>
        <v>-1.2502598546651129</v>
      </c>
    </row>
    <row r="231" spans="1:8" x14ac:dyDescent="0.25">
      <c r="A231" t="s">
        <v>233</v>
      </c>
      <c r="B231">
        <v>541600.8922</v>
      </c>
      <c r="C231">
        <v>562953.37080000003</v>
      </c>
      <c r="D231">
        <v>16686</v>
      </c>
      <c r="E231" s="5">
        <f t="shared" si="13"/>
        <v>32.458401785928324</v>
      </c>
      <c r="F231" s="5">
        <f t="shared" si="16"/>
        <v>-21352.478600000031</v>
      </c>
      <c r="G231" s="5">
        <f t="shared" si="14"/>
        <v>-213.52478600000032</v>
      </c>
      <c r="H231" s="5">
        <f t="shared" si="15"/>
        <v>-1.2796643054057313</v>
      </c>
    </row>
    <row r="232" spans="1:8" x14ac:dyDescent="0.25">
      <c r="A232" t="s">
        <v>234</v>
      </c>
      <c r="B232">
        <v>239513.97899999999</v>
      </c>
      <c r="C232">
        <v>249203.1208</v>
      </c>
      <c r="D232">
        <v>7380</v>
      </c>
      <c r="E232" s="5">
        <f t="shared" si="13"/>
        <v>32.45446869918699</v>
      </c>
      <c r="F232" s="5">
        <f t="shared" si="16"/>
        <v>-9689.1418000000122</v>
      </c>
      <c r="G232" s="5">
        <f t="shared" si="14"/>
        <v>-96.891418000000115</v>
      </c>
      <c r="H232" s="5">
        <f t="shared" si="15"/>
        <v>-1.3128918428184297</v>
      </c>
    </row>
    <row r="233" spans="1:8" x14ac:dyDescent="0.25">
      <c r="A233" t="s">
        <v>235</v>
      </c>
      <c r="B233">
        <v>255224.22260000001</v>
      </c>
      <c r="C233">
        <v>265532.54619999998</v>
      </c>
      <c r="D233">
        <v>7864</v>
      </c>
      <c r="E233" s="5">
        <f t="shared" si="13"/>
        <v>32.454758723296031</v>
      </c>
      <c r="F233" s="5">
        <f t="shared" si="16"/>
        <v>-10308.323599999974</v>
      </c>
      <c r="G233" s="5">
        <f t="shared" si="14"/>
        <v>-103.08323599999974</v>
      </c>
      <c r="H233" s="5">
        <f t="shared" si="15"/>
        <v>-1.3108244659206478</v>
      </c>
    </row>
    <row r="234" spans="1:8" x14ac:dyDescent="0.25">
      <c r="A234" t="s">
        <v>236</v>
      </c>
      <c r="B234">
        <v>160372.03969999999</v>
      </c>
      <c r="C234">
        <v>167021.15779999999</v>
      </c>
      <c r="D234">
        <v>4941</v>
      </c>
      <c r="E234" s="5">
        <f t="shared" si="13"/>
        <v>32.457405322809144</v>
      </c>
      <c r="F234" s="5">
        <f t="shared" si="16"/>
        <v>-6649.1180999999924</v>
      </c>
      <c r="G234" s="5">
        <f t="shared" si="14"/>
        <v>-66.491180999999926</v>
      </c>
      <c r="H234" s="5">
        <f t="shared" si="15"/>
        <v>-1.3457029143897981</v>
      </c>
    </row>
    <row r="235" spans="1:8" x14ac:dyDescent="0.25">
      <c r="A235" t="s">
        <v>237</v>
      </c>
      <c r="B235">
        <v>171587.33230000001</v>
      </c>
      <c r="C235">
        <v>174723.17540000001</v>
      </c>
      <c r="D235">
        <v>5151</v>
      </c>
      <c r="E235" s="5">
        <f t="shared" si="13"/>
        <v>33.311460357212191</v>
      </c>
      <c r="F235" s="5">
        <f t="shared" si="16"/>
        <v>-3135.8430999999982</v>
      </c>
      <c r="G235" s="5">
        <f t="shared" si="14"/>
        <v>-31.358430999999982</v>
      </c>
      <c r="H235" s="5">
        <f t="shared" si="15"/>
        <v>-0.60878336245389209</v>
      </c>
    </row>
    <row r="236" spans="1:8" x14ac:dyDescent="0.25">
      <c r="A236" t="s">
        <v>238</v>
      </c>
      <c r="B236">
        <v>164208.0606</v>
      </c>
      <c r="C236">
        <v>167239.6488</v>
      </c>
      <c r="D236">
        <v>4928</v>
      </c>
      <c r="E236" s="5">
        <f t="shared" si="13"/>
        <v>33.321440868506492</v>
      </c>
      <c r="F236" s="5">
        <f t="shared" si="16"/>
        <v>-3031.5881999999983</v>
      </c>
      <c r="G236" s="5">
        <f t="shared" si="14"/>
        <v>-30.315881999999984</v>
      </c>
      <c r="H236" s="5">
        <f t="shared" si="15"/>
        <v>-0.6151761769480516</v>
      </c>
    </row>
    <row r="237" spans="1:8" x14ac:dyDescent="0.25">
      <c r="A237" t="s">
        <v>239</v>
      </c>
      <c r="B237">
        <v>376778.8357</v>
      </c>
      <c r="C237">
        <v>384006.0453</v>
      </c>
      <c r="D237">
        <v>11309</v>
      </c>
      <c r="E237" s="5">
        <f t="shared" si="13"/>
        <v>33.316724352285789</v>
      </c>
      <c r="F237" s="5">
        <f t="shared" si="16"/>
        <v>-7227.209600000002</v>
      </c>
      <c r="G237" s="5">
        <f t="shared" si="14"/>
        <v>-72.272096000000019</v>
      </c>
      <c r="H237" s="5">
        <f t="shared" si="15"/>
        <v>-0.63906707931735807</v>
      </c>
    </row>
    <row r="238" spans="1:8" x14ac:dyDescent="0.25">
      <c r="A238" t="s">
        <v>240</v>
      </c>
      <c r="B238">
        <v>453633.47399999999</v>
      </c>
      <c r="C238">
        <v>463250.07130000001</v>
      </c>
      <c r="D238">
        <v>13613</v>
      </c>
      <c r="E238" s="5">
        <f t="shared" si="13"/>
        <v>33.323549107470797</v>
      </c>
      <c r="F238" s="5">
        <f t="shared" si="16"/>
        <v>-9616.5973000000231</v>
      </c>
      <c r="G238" s="5">
        <f t="shared" si="14"/>
        <v>-96.165973000000236</v>
      </c>
      <c r="H238" s="5">
        <f t="shared" si="15"/>
        <v>-0.70642748108425935</v>
      </c>
    </row>
    <row r="239" spans="1:8" x14ac:dyDescent="0.25">
      <c r="A239" t="s">
        <v>241</v>
      </c>
      <c r="B239">
        <v>214392.40090000001</v>
      </c>
      <c r="C239">
        <v>218347.7978</v>
      </c>
      <c r="D239">
        <v>6424</v>
      </c>
      <c r="E239" s="5">
        <f t="shared" si="13"/>
        <v>33.37366141033624</v>
      </c>
      <c r="F239" s="5">
        <f t="shared" si="16"/>
        <v>-3955.3968999999925</v>
      </c>
      <c r="G239" s="5">
        <f t="shared" si="14"/>
        <v>-39.553968999999924</v>
      </c>
      <c r="H239" s="5">
        <f t="shared" si="15"/>
        <v>-0.61572180884184191</v>
      </c>
    </row>
    <row r="240" spans="1:8" x14ac:dyDescent="0.25">
      <c r="A240" t="s">
        <v>242</v>
      </c>
      <c r="B240">
        <v>316404.06229999999</v>
      </c>
      <c r="C240">
        <v>323293.39659999998</v>
      </c>
      <c r="D240">
        <v>9493</v>
      </c>
      <c r="E240" s="5">
        <f t="shared" si="13"/>
        <v>33.330249899926258</v>
      </c>
      <c r="F240" s="5">
        <f t="shared" si="16"/>
        <v>-6889.3342999999877</v>
      </c>
      <c r="G240" s="5">
        <f t="shared" si="14"/>
        <v>-68.893342999999874</v>
      </c>
      <c r="H240" s="5">
        <f t="shared" si="15"/>
        <v>-0.72572783103339178</v>
      </c>
    </row>
    <row r="241" spans="1:8" x14ac:dyDescent="0.25">
      <c r="A241" t="s">
        <v>243</v>
      </c>
      <c r="B241">
        <v>242824.5013</v>
      </c>
      <c r="C241">
        <v>259860.51250000001</v>
      </c>
      <c r="D241">
        <v>7619</v>
      </c>
      <c r="E241" s="5">
        <f t="shared" si="13"/>
        <v>31.87091498884368</v>
      </c>
      <c r="F241" s="5">
        <f t="shared" si="16"/>
        <v>-17036.011200000008</v>
      </c>
      <c r="G241" s="5">
        <f t="shared" si="14"/>
        <v>-170.36011200000007</v>
      </c>
      <c r="H241" s="5">
        <f t="shared" si="15"/>
        <v>-2.2359904449402821</v>
      </c>
    </row>
    <row r="242" spans="1:8" x14ac:dyDescent="0.25">
      <c r="A242" t="s">
        <v>244</v>
      </c>
      <c r="B242">
        <v>274712.25329999998</v>
      </c>
      <c r="C242">
        <v>304334.78460000001</v>
      </c>
      <c r="D242">
        <v>8909</v>
      </c>
      <c r="E242" s="5">
        <f t="shared" si="13"/>
        <v>30.835363486362105</v>
      </c>
      <c r="F242" s="5">
        <f t="shared" si="16"/>
        <v>-29622.531300000031</v>
      </c>
      <c r="G242" s="5">
        <f t="shared" si="14"/>
        <v>-296.22531300000031</v>
      </c>
      <c r="H242" s="5">
        <f t="shared" si="15"/>
        <v>-3.3250119317544091</v>
      </c>
    </row>
    <row r="243" spans="1:8" x14ac:dyDescent="0.25">
      <c r="A243" t="s">
        <v>245</v>
      </c>
      <c r="B243">
        <v>258066.16940000001</v>
      </c>
      <c r="C243">
        <v>287168.5661</v>
      </c>
      <c r="D243">
        <v>8400</v>
      </c>
      <c r="E243" s="5">
        <f t="shared" si="13"/>
        <v>30.722163023809525</v>
      </c>
      <c r="F243" s="5">
        <f t="shared" si="16"/>
        <v>-29102.396699999983</v>
      </c>
      <c r="G243" s="5">
        <f t="shared" si="14"/>
        <v>-291.02396699999986</v>
      </c>
      <c r="H243" s="5">
        <f t="shared" si="15"/>
        <v>-3.4645710357142838</v>
      </c>
    </row>
    <row r="244" spans="1:8" x14ac:dyDescent="0.25">
      <c r="A244" t="s">
        <v>246</v>
      </c>
      <c r="B244">
        <v>594007.2132</v>
      </c>
      <c r="C244">
        <v>660937.80480000004</v>
      </c>
      <c r="D244">
        <v>19317</v>
      </c>
      <c r="E244" s="5">
        <f t="shared" si="13"/>
        <v>30.750489889734432</v>
      </c>
      <c r="F244" s="5">
        <f t="shared" si="16"/>
        <v>-66930.591600000043</v>
      </c>
      <c r="G244" s="5">
        <f t="shared" si="14"/>
        <v>-669.30591600000048</v>
      </c>
      <c r="H244" s="5">
        <f t="shared" si="15"/>
        <v>-3.4648543562665033</v>
      </c>
    </row>
    <row r="245" spans="1:8" x14ac:dyDescent="0.25">
      <c r="A245" t="s">
        <v>247</v>
      </c>
      <c r="B245">
        <v>717096.71279999998</v>
      </c>
      <c r="C245">
        <v>797788.89199999999</v>
      </c>
      <c r="D245">
        <v>23310</v>
      </c>
      <c r="E245" s="5">
        <f t="shared" si="13"/>
        <v>30.763479742599742</v>
      </c>
      <c r="F245" s="5">
        <f t="shared" si="16"/>
        <v>-80692.179200000013</v>
      </c>
      <c r="G245" s="5">
        <f t="shared" si="14"/>
        <v>-806.9217920000001</v>
      </c>
      <c r="H245" s="5">
        <f t="shared" si="15"/>
        <v>-3.4616979493779501</v>
      </c>
    </row>
    <row r="246" spans="1:8" x14ac:dyDescent="0.25">
      <c r="A246" t="s">
        <v>248</v>
      </c>
      <c r="B246">
        <v>358170.9963</v>
      </c>
      <c r="C246">
        <v>398562.60739999998</v>
      </c>
      <c r="D246">
        <v>11646</v>
      </c>
      <c r="E246" s="5">
        <f t="shared" si="13"/>
        <v>30.754851133436372</v>
      </c>
      <c r="F246" s="5">
        <f t="shared" si="16"/>
        <v>-40391.61109999998</v>
      </c>
      <c r="G246" s="5">
        <f t="shared" si="14"/>
        <v>-403.91611099999977</v>
      </c>
      <c r="H246" s="5">
        <f t="shared" si="15"/>
        <v>-3.4682819079512264</v>
      </c>
    </row>
    <row r="247" spans="1:8" x14ac:dyDescent="0.25">
      <c r="A247" t="s">
        <v>249</v>
      </c>
      <c r="B247">
        <v>594953.63489999995</v>
      </c>
      <c r="C247">
        <v>662850.99080000003</v>
      </c>
      <c r="D247">
        <v>19366</v>
      </c>
      <c r="E247" s="5">
        <f t="shared" si="13"/>
        <v>30.721555039760403</v>
      </c>
      <c r="F247" s="5">
        <f t="shared" si="16"/>
        <v>-67897.355900000082</v>
      </c>
      <c r="G247" s="5">
        <f t="shared" si="14"/>
        <v>-678.97355900000082</v>
      </c>
      <c r="H247" s="5">
        <f t="shared" si="15"/>
        <v>-3.5060082567386184</v>
      </c>
    </row>
    <row r="248" spans="1:8" x14ac:dyDescent="0.25">
      <c r="A248" t="s">
        <v>250</v>
      </c>
      <c r="B248">
        <v>469469.94099999999</v>
      </c>
      <c r="C248">
        <v>523480.30330000003</v>
      </c>
      <c r="D248">
        <v>15291</v>
      </c>
      <c r="E248" s="5">
        <f t="shared" si="13"/>
        <v>30.702370086979268</v>
      </c>
      <c r="F248" s="5">
        <f t="shared" si="16"/>
        <v>-54010.362300000037</v>
      </c>
      <c r="G248" s="5">
        <f t="shared" si="14"/>
        <v>-540.10362300000043</v>
      </c>
      <c r="H248" s="5">
        <f t="shared" si="15"/>
        <v>-3.5321667843829729</v>
      </c>
    </row>
    <row r="249" spans="1:8" x14ac:dyDescent="0.25">
      <c r="A249" t="s">
        <v>251</v>
      </c>
      <c r="B249">
        <v>464067.79930000001</v>
      </c>
      <c r="C249">
        <v>517180.54330000002</v>
      </c>
      <c r="D249">
        <v>15100</v>
      </c>
      <c r="E249" s="5">
        <f t="shared" si="13"/>
        <v>30.732966841059604</v>
      </c>
      <c r="F249" s="5">
        <f t="shared" si="16"/>
        <v>-53112.744000000006</v>
      </c>
      <c r="G249" s="5">
        <f t="shared" si="14"/>
        <v>-531.12744000000009</v>
      </c>
      <c r="H249" s="5">
        <f t="shared" si="15"/>
        <v>-3.5174002649006626</v>
      </c>
    </row>
    <row r="250" spans="1:8" x14ac:dyDescent="0.25">
      <c r="A250" t="s">
        <v>252</v>
      </c>
      <c r="B250">
        <v>312311.95400000003</v>
      </c>
      <c r="C250">
        <v>348177.12050000002</v>
      </c>
      <c r="D250">
        <v>10164</v>
      </c>
      <c r="E250" s="5">
        <f t="shared" si="13"/>
        <v>30.727268201495477</v>
      </c>
      <c r="F250" s="5">
        <f t="shared" si="16"/>
        <v>-35865.166499999992</v>
      </c>
      <c r="G250" s="5">
        <f t="shared" si="14"/>
        <v>-358.65166499999992</v>
      </c>
      <c r="H250" s="5">
        <f t="shared" si="15"/>
        <v>-3.5286468417945684</v>
      </c>
    </row>
    <row r="251" spans="1:8" x14ac:dyDescent="0.25">
      <c r="A251" t="s">
        <v>253</v>
      </c>
      <c r="B251">
        <v>501279.00040000002</v>
      </c>
      <c r="C251">
        <v>558766.69030000002</v>
      </c>
      <c r="D251">
        <v>16310</v>
      </c>
      <c r="E251" s="5">
        <f t="shared" si="13"/>
        <v>30.734457412630288</v>
      </c>
      <c r="F251" s="5">
        <f t="shared" si="16"/>
        <v>-57487.689899999998</v>
      </c>
      <c r="G251" s="5">
        <f t="shared" si="14"/>
        <v>-574.87689899999998</v>
      </c>
      <c r="H251" s="5">
        <f t="shared" si="15"/>
        <v>-3.524689754751686</v>
      </c>
    </row>
    <row r="252" spans="1:8" x14ac:dyDescent="0.25">
      <c r="A252" t="s">
        <v>254</v>
      </c>
      <c r="B252">
        <v>552703.90379999997</v>
      </c>
      <c r="C252">
        <v>616169.85140000004</v>
      </c>
      <c r="D252">
        <v>17985</v>
      </c>
      <c r="E252" s="5">
        <f t="shared" si="13"/>
        <v>30.731381918265221</v>
      </c>
      <c r="F252" s="5">
        <f t="shared" si="16"/>
        <v>-63465.947600000072</v>
      </c>
      <c r="G252" s="5">
        <f t="shared" si="14"/>
        <v>-634.65947600000072</v>
      </c>
      <c r="H252" s="5">
        <f t="shared" si="15"/>
        <v>-3.5288266666666708</v>
      </c>
    </row>
    <row r="253" spans="1:8" x14ac:dyDescent="0.25">
      <c r="A253" t="s">
        <v>255</v>
      </c>
      <c r="B253">
        <v>234153.7622</v>
      </c>
      <c r="C253">
        <v>261088.38639999999</v>
      </c>
      <c r="D253">
        <v>7620</v>
      </c>
      <c r="E253" s="5">
        <f t="shared" si="13"/>
        <v>30.728840183727034</v>
      </c>
      <c r="F253" s="5">
        <f t="shared" si="16"/>
        <v>-26934.624199999991</v>
      </c>
      <c r="G253" s="5">
        <f t="shared" si="14"/>
        <v>-269.3462419999999</v>
      </c>
      <c r="H253" s="5">
        <f t="shared" si="15"/>
        <v>-3.5347275853018361</v>
      </c>
    </row>
    <row r="254" spans="1:8" x14ac:dyDescent="0.25">
      <c r="A254" t="s">
        <v>256</v>
      </c>
      <c r="B254">
        <v>244481.49770000001</v>
      </c>
      <c r="C254">
        <v>272633.39980000001</v>
      </c>
      <c r="D254">
        <v>7958</v>
      </c>
      <c r="E254" s="5">
        <f t="shared" si="13"/>
        <v>30.721474956019101</v>
      </c>
      <c r="F254" s="5">
        <f t="shared" si="16"/>
        <v>-28151.902100000007</v>
      </c>
      <c r="G254" s="5">
        <f t="shared" si="14"/>
        <v>-281.51902100000007</v>
      </c>
      <c r="H254" s="5">
        <f t="shared" si="15"/>
        <v>-3.5375599522493095</v>
      </c>
    </row>
    <row r="255" spans="1:8" x14ac:dyDescent="0.25">
      <c r="A255" t="s">
        <v>257</v>
      </c>
      <c r="B255">
        <v>122749.63529999999</v>
      </c>
      <c r="C255">
        <v>120070.95020000001</v>
      </c>
      <c r="D255">
        <v>3503</v>
      </c>
      <c r="E255" s="5">
        <f t="shared" si="13"/>
        <v>35.041288980873539</v>
      </c>
      <c r="F255" s="5">
        <f t="shared" si="16"/>
        <v>2678.6850999999879</v>
      </c>
      <c r="G255" s="5">
        <f t="shared" si="14"/>
        <v>26.786850999999878</v>
      </c>
      <c r="H255" s="5">
        <f t="shared" si="15"/>
        <v>0.7646831572937447</v>
      </c>
    </row>
    <row r="256" spans="1:8" x14ac:dyDescent="0.25">
      <c r="A256" t="s">
        <v>258</v>
      </c>
      <c r="B256">
        <v>78736.402839999995</v>
      </c>
      <c r="C256">
        <v>77071.542709999994</v>
      </c>
      <c r="D256">
        <v>2247</v>
      </c>
      <c r="E256" s="5">
        <f t="shared" si="13"/>
        <v>35.040677721406318</v>
      </c>
      <c r="F256" s="5">
        <f t="shared" si="16"/>
        <v>1664.8601300000009</v>
      </c>
      <c r="G256" s="5">
        <f t="shared" si="14"/>
        <v>16.64860130000001</v>
      </c>
      <c r="H256" s="5">
        <f t="shared" si="15"/>
        <v>0.74092573653760607</v>
      </c>
    </row>
    <row r="257" spans="1:8" x14ac:dyDescent="0.25">
      <c r="A257" t="s">
        <v>259</v>
      </c>
      <c r="B257">
        <v>70875.110669999995</v>
      </c>
      <c r="C257">
        <v>69489.360849999997</v>
      </c>
      <c r="D257">
        <v>2023</v>
      </c>
      <c r="E257" s="5">
        <f t="shared" si="13"/>
        <v>35.03465678200692</v>
      </c>
      <c r="F257" s="5">
        <f t="shared" si="16"/>
        <v>1385.7498199999973</v>
      </c>
      <c r="G257" s="5">
        <f t="shared" si="14"/>
        <v>13.857498199999974</v>
      </c>
      <c r="H257" s="5">
        <f t="shared" si="15"/>
        <v>0.68499743944636549</v>
      </c>
    </row>
    <row r="258" spans="1:8" x14ac:dyDescent="0.25">
      <c r="A258" t="s">
        <v>260</v>
      </c>
      <c r="B258">
        <v>148634.39139999999</v>
      </c>
      <c r="C258">
        <v>145956.1397</v>
      </c>
      <c r="D258">
        <v>4242</v>
      </c>
      <c r="E258" s="5">
        <f t="shared" si="13"/>
        <v>35.038753276756246</v>
      </c>
      <c r="F258" s="5">
        <f t="shared" si="16"/>
        <v>2678.2516999999934</v>
      </c>
      <c r="G258" s="5">
        <f t="shared" si="14"/>
        <v>26.782516999999935</v>
      </c>
      <c r="H258" s="5">
        <f t="shared" si="15"/>
        <v>0.631365322960866</v>
      </c>
    </row>
    <row r="259" spans="1:8" x14ac:dyDescent="0.25">
      <c r="A259" t="s">
        <v>261</v>
      </c>
      <c r="B259">
        <v>171724.82879999999</v>
      </c>
      <c r="C259">
        <v>168652.20360000001</v>
      </c>
      <c r="D259">
        <v>4901</v>
      </c>
      <c r="E259" s="5">
        <f t="shared" ref="E259:E322" si="17">B259/D259</f>
        <v>35.038732666802694</v>
      </c>
      <c r="F259" s="5">
        <f t="shared" si="16"/>
        <v>3072.6251999999804</v>
      </c>
      <c r="G259" s="5">
        <f t="shared" ref="G259:G322" si="18">F259/100</f>
        <v>30.726251999999803</v>
      </c>
      <c r="H259" s="5">
        <f t="shared" ref="H259:H322" si="19">F259/D259</f>
        <v>0.62693842073045913</v>
      </c>
    </row>
    <row r="260" spans="1:8" x14ac:dyDescent="0.25">
      <c r="A260" t="s">
        <v>262</v>
      </c>
      <c r="B260">
        <v>86435.698829999994</v>
      </c>
      <c r="C260">
        <v>84948.374580000003</v>
      </c>
      <c r="D260">
        <v>2467</v>
      </c>
      <c r="E260" s="5">
        <f t="shared" si="17"/>
        <v>35.036764827725982</v>
      </c>
      <c r="F260" s="5">
        <f t="shared" si="16"/>
        <v>1487.3242499999906</v>
      </c>
      <c r="G260" s="5">
        <f t="shared" si="18"/>
        <v>14.873242499999906</v>
      </c>
      <c r="H260" s="5">
        <f t="shared" si="19"/>
        <v>0.60288781921361601</v>
      </c>
    </row>
    <row r="261" spans="1:8" x14ac:dyDescent="0.25">
      <c r="A261" t="s">
        <v>263</v>
      </c>
      <c r="B261">
        <v>120236.1827</v>
      </c>
      <c r="C261">
        <v>118094.0432</v>
      </c>
      <c r="D261">
        <v>3432</v>
      </c>
      <c r="E261" s="5">
        <f t="shared" si="17"/>
        <v>35.033852768065266</v>
      </c>
      <c r="F261" s="5">
        <f t="shared" si="16"/>
        <v>2142.1395000000048</v>
      </c>
      <c r="G261" s="5">
        <f t="shared" si="18"/>
        <v>21.421395000000047</v>
      </c>
      <c r="H261" s="5">
        <f t="shared" si="19"/>
        <v>0.62416652097902237</v>
      </c>
    </row>
    <row r="262" spans="1:8" x14ac:dyDescent="0.25">
      <c r="A262" t="s">
        <v>264</v>
      </c>
      <c r="B262">
        <v>83204.196689999997</v>
      </c>
      <c r="C262">
        <v>81753.424589999995</v>
      </c>
      <c r="D262">
        <v>2375</v>
      </c>
      <c r="E262" s="5">
        <f t="shared" si="17"/>
        <v>35.033345974736839</v>
      </c>
      <c r="F262" s="5">
        <f t="shared" si="16"/>
        <v>1450.772100000002</v>
      </c>
      <c r="G262" s="5">
        <f t="shared" si="18"/>
        <v>14.50772100000002</v>
      </c>
      <c r="H262" s="5">
        <f t="shared" si="19"/>
        <v>0.61085141052631664</v>
      </c>
    </row>
    <row r="263" spans="1:8" x14ac:dyDescent="0.25">
      <c r="A263" t="s">
        <v>265</v>
      </c>
      <c r="B263">
        <v>73768.034729999999</v>
      </c>
      <c r="C263">
        <v>72471.919320000001</v>
      </c>
      <c r="D263">
        <v>2105</v>
      </c>
      <c r="E263" s="5">
        <f t="shared" si="17"/>
        <v>35.04419702137767</v>
      </c>
      <c r="F263" s="5">
        <f t="shared" si="16"/>
        <v>1296.1154099999985</v>
      </c>
      <c r="G263" s="5">
        <f t="shared" si="18"/>
        <v>12.961154099999986</v>
      </c>
      <c r="H263" s="5">
        <f t="shared" si="19"/>
        <v>0.61573178622327718</v>
      </c>
    </row>
    <row r="264" spans="1:8" x14ac:dyDescent="0.25">
      <c r="A264" t="s">
        <v>266</v>
      </c>
      <c r="B264">
        <v>69425.445120000004</v>
      </c>
      <c r="C264">
        <v>68280.383279999995</v>
      </c>
      <c r="D264">
        <v>1982</v>
      </c>
      <c r="E264" s="5">
        <f t="shared" si="17"/>
        <v>35.027974328960646</v>
      </c>
      <c r="F264" s="5">
        <f t="shared" si="16"/>
        <v>1145.0618400000094</v>
      </c>
      <c r="G264" s="5">
        <f t="shared" si="18"/>
        <v>11.450618400000094</v>
      </c>
      <c r="H264" s="5">
        <f t="shared" si="19"/>
        <v>0.5777304944500552</v>
      </c>
    </row>
    <row r="265" spans="1:8" x14ac:dyDescent="0.25">
      <c r="A265" t="s">
        <v>267</v>
      </c>
      <c r="B265">
        <v>137154.9541</v>
      </c>
      <c r="C265">
        <v>135276.90960000001</v>
      </c>
      <c r="D265">
        <v>3915</v>
      </c>
      <c r="E265" s="5">
        <f t="shared" si="17"/>
        <v>35.033193895274586</v>
      </c>
      <c r="F265" s="5">
        <f t="shared" si="16"/>
        <v>1878.0444999999891</v>
      </c>
      <c r="G265" s="5">
        <f t="shared" si="18"/>
        <v>18.78044499999989</v>
      </c>
      <c r="H265" s="5">
        <f t="shared" si="19"/>
        <v>0.47970485312898825</v>
      </c>
    </row>
    <row r="266" spans="1:8" x14ac:dyDescent="0.25">
      <c r="A266" t="s">
        <v>268</v>
      </c>
      <c r="B266">
        <v>153569.0619</v>
      </c>
      <c r="C266">
        <v>151376.13560000001</v>
      </c>
      <c r="D266">
        <v>4383</v>
      </c>
      <c r="E266" s="5">
        <f t="shared" si="17"/>
        <v>35.037431416837784</v>
      </c>
      <c r="F266" s="5">
        <f t="shared" si="16"/>
        <v>2192.9262999999919</v>
      </c>
      <c r="G266" s="5">
        <f t="shared" si="18"/>
        <v>21.929262999999921</v>
      </c>
      <c r="H266" s="5">
        <f t="shared" si="19"/>
        <v>0.50032541638147199</v>
      </c>
    </row>
    <row r="267" spans="1:8" x14ac:dyDescent="0.25">
      <c r="A267" t="s">
        <v>269</v>
      </c>
      <c r="B267">
        <v>75633.320590000003</v>
      </c>
      <c r="C267">
        <v>74546.668250000002</v>
      </c>
      <c r="D267">
        <v>2159</v>
      </c>
      <c r="E267" s="5">
        <f t="shared" si="17"/>
        <v>35.031644553033814</v>
      </c>
      <c r="F267" s="5">
        <f t="shared" si="16"/>
        <v>1086.6523400000005</v>
      </c>
      <c r="G267" s="5">
        <f t="shared" si="18"/>
        <v>10.866523400000005</v>
      </c>
      <c r="H267" s="5">
        <f t="shared" si="19"/>
        <v>0.50331280222325181</v>
      </c>
    </row>
    <row r="268" spans="1:8" x14ac:dyDescent="0.25">
      <c r="A268" t="s">
        <v>270</v>
      </c>
      <c r="B268">
        <v>90815.929810000001</v>
      </c>
      <c r="C268">
        <v>89653.637589999998</v>
      </c>
      <c r="D268">
        <v>2592</v>
      </c>
      <c r="E268" s="5">
        <f t="shared" si="17"/>
        <v>35.037009957561729</v>
      </c>
      <c r="F268" s="5">
        <f t="shared" si="16"/>
        <v>1162.292220000003</v>
      </c>
      <c r="G268" s="5">
        <f t="shared" si="18"/>
        <v>11.62292220000003</v>
      </c>
      <c r="H268" s="5">
        <f t="shared" si="19"/>
        <v>0.44841520833333448</v>
      </c>
    </row>
    <row r="269" spans="1:8" x14ac:dyDescent="0.25">
      <c r="A269" t="s">
        <v>271</v>
      </c>
      <c r="B269">
        <v>110118.15640000001</v>
      </c>
      <c r="C269">
        <v>108880.409</v>
      </c>
      <c r="D269">
        <v>3143</v>
      </c>
      <c r="E269" s="5">
        <f t="shared" si="17"/>
        <v>35.03600267260579</v>
      </c>
      <c r="F269" s="5">
        <f t="shared" si="16"/>
        <v>1237.7474000000075</v>
      </c>
      <c r="G269" s="5">
        <f t="shared" si="18"/>
        <v>12.377474000000074</v>
      </c>
      <c r="H269" s="5">
        <f t="shared" si="19"/>
        <v>0.3938108176901074</v>
      </c>
    </row>
    <row r="270" spans="1:8" x14ac:dyDescent="0.25">
      <c r="A270" t="s">
        <v>272</v>
      </c>
      <c r="B270">
        <v>209908.38310000001</v>
      </c>
      <c r="C270">
        <v>223554.08660000001</v>
      </c>
      <c r="D270">
        <v>6457</v>
      </c>
      <c r="E270" s="5">
        <f t="shared" si="17"/>
        <v>32.508654653864028</v>
      </c>
      <c r="F270" s="5">
        <f t="shared" si="16"/>
        <v>-13645.703500000003</v>
      </c>
      <c r="G270" s="5">
        <f t="shared" si="18"/>
        <v>-136.45703500000002</v>
      </c>
      <c r="H270" s="5">
        <f t="shared" si="19"/>
        <v>-2.1133194207836463</v>
      </c>
    </row>
    <row r="271" spans="1:8" x14ac:dyDescent="0.25">
      <c r="A271" t="s">
        <v>273</v>
      </c>
      <c r="B271">
        <v>358365.68300000002</v>
      </c>
      <c r="C271">
        <v>382967.98320000002</v>
      </c>
      <c r="D271">
        <v>11039</v>
      </c>
      <c r="E271" s="5">
        <f t="shared" si="17"/>
        <v>32.463600235528581</v>
      </c>
      <c r="F271" s="5">
        <f t="shared" si="16"/>
        <v>-24602.300199999998</v>
      </c>
      <c r="G271" s="5">
        <f t="shared" si="18"/>
        <v>-246.02300199999999</v>
      </c>
      <c r="H271" s="5">
        <f t="shared" si="19"/>
        <v>-2.2286710933961409</v>
      </c>
    </row>
    <row r="272" spans="1:8" x14ac:dyDescent="0.25">
      <c r="A272" t="s">
        <v>274</v>
      </c>
      <c r="B272">
        <v>585463.99600000004</v>
      </c>
      <c r="C272">
        <v>625980.93019999994</v>
      </c>
      <c r="D272">
        <v>18036</v>
      </c>
      <c r="E272" s="5">
        <f t="shared" si="17"/>
        <v>32.460855843867819</v>
      </c>
      <c r="F272" s="5">
        <f t="shared" si="16"/>
        <v>-40516.934199999901</v>
      </c>
      <c r="G272" s="5">
        <f t="shared" si="18"/>
        <v>-405.16934199999901</v>
      </c>
      <c r="H272" s="5">
        <f t="shared" si="19"/>
        <v>-2.2464478931026779</v>
      </c>
    </row>
    <row r="273" spans="1:8" x14ac:dyDescent="0.25">
      <c r="A273" t="s">
        <v>275</v>
      </c>
      <c r="B273">
        <v>617019.09149999998</v>
      </c>
      <c r="C273">
        <v>661010.59129999997</v>
      </c>
      <c r="D273">
        <v>19017</v>
      </c>
      <c r="E273" s="5">
        <f t="shared" si="17"/>
        <v>32.445658700110428</v>
      </c>
      <c r="F273" s="5">
        <f t="shared" si="16"/>
        <v>-43991.499799999991</v>
      </c>
      <c r="G273" s="5">
        <f t="shared" si="18"/>
        <v>-439.91499799999991</v>
      </c>
      <c r="H273" s="5">
        <f t="shared" si="19"/>
        <v>-2.3132723247620546</v>
      </c>
    </row>
    <row r="274" spans="1:8" x14ac:dyDescent="0.25">
      <c r="A274" t="s">
        <v>276</v>
      </c>
      <c r="B274">
        <v>283850.59710000001</v>
      </c>
      <c r="C274">
        <v>304440.65149999998</v>
      </c>
      <c r="D274">
        <v>8747</v>
      </c>
      <c r="E274" s="5">
        <f t="shared" si="17"/>
        <v>32.451194363781873</v>
      </c>
      <c r="F274" s="5">
        <f t="shared" si="16"/>
        <v>-20590.054399999965</v>
      </c>
      <c r="G274" s="5">
        <f t="shared" si="18"/>
        <v>-205.90054399999966</v>
      </c>
      <c r="H274" s="5">
        <f t="shared" si="19"/>
        <v>-2.3539561449639836</v>
      </c>
    </row>
    <row r="275" spans="1:8" x14ac:dyDescent="0.25">
      <c r="A275" t="s">
        <v>277</v>
      </c>
      <c r="B275">
        <v>264317.11040000001</v>
      </c>
      <c r="C275">
        <v>283912.96870000003</v>
      </c>
      <c r="D275">
        <v>8147</v>
      </c>
      <c r="E275" s="5">
        <f t="shared" si="17"/>
        <v>32.443489677181788</v>
      </c>
      <c r="F275" s="5">
        <f t="shared" si="16"/>
        <v>-19595.858300000022</v>
      </c>
      <c r="G275" s="5">
        <f t="shared" si="18"/>
        <v>-195.9585830000002</v>
      </c>
      <c r="H275" s="5">
        <f t="shared" si="19"/>
        <v>-2.4052851724561215</v>
      </c>
    </row>
    <row r="276" spans="1:8" x14ac:dyDescent="0.25">
      <c r="A276" t="s">
        <v>278</v>
      </c>
      <c r="B276">
        <v>358024.98129999998</v>
      </c>
      <c r="C276">
        <v>384823.4399</v>
      </c>
      <c r="D276">
        <v>11036</v>
      </c>
      <c r="E276" s="5">
        <f t="shared" si="17"/>
        <v>32.441553216745199</v>
      </c>
      <c r="F276" s="5">
        <f t="shared" si="16"/>
        <v>-26798.458600000013</v>
      </c>
      <c r="G276" s="5">
        <f t="shared" si="18"/>
        <v>-267.98458600000015</v>
      </c>
      <c r="H276" s="5">
        <f t="shared" si="19"/>
        <v>-2.4282764226168911</v>
      </c>
    </row>
    <row r="277" spans="1:8" x14ac:dyDescent="0.25">
      <c r="A277" t="s">
        <v>279</v>
      </c>
      <c r="B277">
        <v>594438.28079999995</v>
      </c>
      <c r="C277">
        <v>639306.56880000001</v>
      </c>
      <c r="D277">
        <v>18330</v>
      </c>
      <c r="E277" s="5">
        <f t="shared" si="17"/>
        <v>32.429802553191486</v>
      </c>
      <c r="F277" s="5">
        <f t="shared" ref="F277:F340" si="20" xml:space="preserve"> B277-C277</f>
        <v>-44868.288000000059</v>
      </c>
      <c r="G277" s="5">
        <f t="shared" si="18"/>
        <v>-448.68288000000058</v>
      </c>
      <c r="H277" s="5">
        <f t="shared" si="19"/>
        <v>-2.4478062193126053</v>
      </c>
    </row>
    <row r="278" spans="1:8" x14ac:dyDescent="0.25">
      <c r="A278" t="s">
        <v>280</v>
      </c>
      <c r="B278">
        <v>470507.663</v>
      </c>
      <c r="C278">
        <v>506072.03330000001</v>
      </c>
      <c r="D278">
        <v>14503</v>
      </c>
      <c r="E278" s="5">
        <f t="shared" si="17"/>
        <v>32.442092187823206</v>
      </c>
      <c r="F278" s="5">
        <f t="shared" si="20"/>
        <v>-35564.37030000001</v>
      </c>
      <c r="G278" s="5">
        <f t="shared" si="18"/>
        <v>-355.64370300000007</v>
      </c>
      <c r="H278" s="5">
        <f t="shared" si="19"/>
        <v>-2.4522078397572922</v>
      </c>
    </row>
    <row r="279" spans="1:8" x14ac:dyDescent="0.25">
      <c r="A279" t="s">
        <v>281</v>
      </c>
      <c r="B279">
        <v>518693.52870000002</v>
      </c>
      <c r="C279">
        <v>557939.36930000002</v>
      </c>
      <c r="D279">
        <v>15986</v>
      </c>
      <c r="E279" s="5">
        <f t="shared" si="17"/>
        <v>32.446736438133371</v>
      </c>
      <c r="F279" s="5">
        <f t="shared" si="20"/>
        <v>-39245.840599999996</v>
      </c>
      <c r="G279" s="5">
        <f t="shared" si="18"/>
        <v>-392.45840599999997</v>
      </c>
      <c r="H279" s="5">
        <f t="shared" si="19"/>
        <v>-2.4550131740272736</v>
      </c>
    </row>
    <row r="280" spans="1:8" x14ac:dyDescent="0.25">
      <c r="A280" t="s">
        <v>282</v>
      </c>
      <c r="B280">
        <v>656245.8284</v>
      </c>
      <c r="C280">
        <v>705891.3003</v>
      </c>
      <c r="D280">
        <v>20223</v>
      </c>
      <c r="E280" s="5">
        <f t="shared" si="17"/>
        <v>32.450468694061215</v>
      </c>
      <c r="F280" s="5">
        <f t="shared" si="20"/>
        <v>-49645.471900000004</v>
      </c>
      <c r="G280" s="5">
        <f t="shared" si="18"/>
        <v>-496.45471900000007</v>
      </c>
      <c r="H280" s="5">
        <f t="shared" si="19"/>
        <v>-2.4549014439005097</v>
      </c>
    </row>
    <row r="281" spans="1:8" x14ac:dyDescent="0.25">
      <c r="A281" t="s">
        <v>283</v>
      </c>
      <c r="B281">
        <v>280055.1177</v>
      </c>
      <c r="C281">
        <v>301279.65500000003</v>
      </c>
      <c r="D281">
        <v>8631</v>
      </c>
      <c r="E281" s="5">
        <f t="shared" si="17"/>
        <v>32.447586339937438</v>
      </c>
      <c r="F281" s="5">
        <f t="shared" si="20"/>
        <v>-21224.537300000025</v>
      </c>
      <c r="G281" s="5">
        <f t="shared" si="18"/>
        <v>-212.24537300000026</v>
      </c>
      <c r="H281" s="5">
        <f t="shared" si="19"/>
        <v>-2.4591052369366269</v>
      </c>
    </row>
    <row r="282" spans="1:8" x14ac:dyDescent="0.25">
      <c r="A282" t="s">
        <v>284</v>
      </c>
      <c r="B282">
        <v>375648.01750000002</v>
      </c>
      <c r="C282">
        <v>404178.92109999998</v>
      </c>
      <c r="D282">
        <v>11579</v>
      </c>
      <c r="E282" s="5">
        <f t="shared" si="17"/>
        <v>32.442181319630365</v>
      </c>
      <c r="F282" s="5">
        <f t="shared" si="20"/>
        <v>-28530.903599999961</v>
      </c>
      <c r="G282" s="5">
        <f t="shared" si="18"/>
        <v>-285.30903599999959</v>
      </c>
      <c r="H282" s="5">
        <f t="shared" si="19"/>
        <v>-2.4640213835391624</v>
      </c>
    </row>
    <row r="283" spans="1:8" x14ac:dyDescent="0.25">
      <c r="A283" t="s">
        <v>285</v>
      </c>
      <c r="B283">
        <v>78111.716459999996</v>
      </c>
      <c r="C283">
        <v>74251.874729999996</v>
      </c>
      <c r="D283">
        <v>2127</v>
      </c>
      <c r="E283" s="5">
        <f t="shared" si="17"/>
        <v>36.723891142454157</v>
      </c>
      <c r="F283" s="5">
        <f t="shared" si="20"/>
        <v>3859.8417300000001</v>
      </c>
      <c r="G283" s="5">
        <f t="shared" si="18"/>
        <v>38.598417300000001</v>
      </c>
      <c r="H283" s="5">
        <f t="shared" si="19"/>
        <v>1.8146881664315939</v>
      </c>
    </row>
    <row r="284" spans="1:8" x14ac:dyDescent="0.25">
      <c r="A284" t="s">
        <v>286</v>
      </c>
      <c r="B284">
        <v>70509.132790000003</v>
      </c>
      <c r="C284">
        <v>67141.979630000002</v>
      </c>
      <c r="D284">
        <v>1923</v>
      </c>
      <c r="E284" s="5">
        <f t="shared" si="17"/>
        <v>36.66621569942798</v>
      </c>
      <c r="F284" s="5">
        <f t="shared" si="20"/>
        <v>3367.1531600000017</v>
      </c>
      <c r="G284" s="5">
        <f t="shared" si="18"/>
        <v>33.671531600000016</v>
      </c>
      <c r="H284" s="5">
        <f t="shared" si="19"/>
        <v>1.7509896827873124</v>
      </c>
    </row>
    <row r="285" spans="1:8" x14ac:dyDescent="0.25">
      <c r="A285" t="s">
        <v>287</v>
      </c>
      <c r="B285">
        <v>103281.311</v>
      </c>
      <c r="C285">
        <v>98065.939079999996</v>
      </c>
      <c r="D285">
        <v>2809</v>
      </c>
      <c r="E285" s="5">
        <f t="shared" si="17"/>
        <v>36.767999644001428</v>
      </c>
      <c r="F285" s="5">
        <f t="shared" si="20"/>
        <v>5215.371920000005</v>
      </c>
      <c r="G285" s="5">
        <f t="shared" si="18"/>
        <v>52.153719200000047</v>
      </c>
      <c r="H285" s="5">
        <f t="shared" si="19"/>
        <v>1.8566649768600945</v>
      </c>
    </row>
    <row r="286" spans="1:8" x14ac:dyDescent="0.25">
      <c r="A286" t="s">
        <v>288</v>
      </c>
      <c r="B286">
        <v>179841.43179999999</v>
      </c>
      <c r="C286">
        <v>170757.58119999999</v>
      </c>
      <c r="D286">
        <v>4891</v>
      </c>
      <c r="E286" s="5">
        <f t="shared" si="17"/>
        <v>36.769869515436511</v>
      </c>
      <c r="F286" s="5">
        <f t="shared" si="20"/>
        <v>9083.8506000000052</v>
      </c>
      <c r="G286" s="5">
        <f t="shared" si="18"/>
        <v>90.838506000000052</v>
      </c>
      <c r="H286" s="5">
        <f t="shared" si="19"/>
        <v>1.8572583520752413</v>
      </c>
    </row>
    <row r="287" spans="1:8" x14ac:dyDescent="0.25">
      <c r="A287" t="s">
        <v>289</v>
      </c>
      <c r="B287">
        <v>138038.23980000001</v>
      </c>
      <c r="C287">
        <v>131192.3168</v>
      </c>
      <c r="D287">
        <v>3758</v>
      </c>
      <c r="E287" s="5">
        <f t="shared" si="17"/>
        <v>36.731836029803091</v>
      </c>
      <c r="F287" s="5">
        <f t="shared" si="20"/>
        <v>6845.9230000000098</v>
      </c>
      <c r="G287" s="5">
        <f t="shared" si="18"/>
        <v>68.459230000000105</v>
      </c>
      <c r="H287" s="5">
        <f t="shared" si="19"/>
        <v>1.8216931878658886</v>
      </c>
    </row>
    <row r="288" spans="1:8" x14ac:dyDescent="0.25">
      <c r="A288" t="s">
        <v>290</v>
      </c>
      <c r="B288">
        <v>61037.562230000003</v>
      </c>
      <c r="C288">
        <v>57992.341509999998</v>
      </c>
      <c r="D288">
        <v>1661</v>
      </c>
      <c r="E288" s="5">
        <f t="shared" si="17"/>
        <v>36.747478765803734</v>
      </c>
      <c r="F288" s="5">
        <f t="shared" si="20"/>
        <v>3045.2207200000048</v>
      </c>
      <c r="G288" s="5">
        <f t="shared" si="18"/>
        <v>30.452207200000046</v>
      </c>
      <c r="H288" s="5">
        <f t="shared" si="19"/>
        <v>1.8333658759783291</v>
      </c>
    </row>
    <row r="289" spans="1:8" x14ac:dyDescent="0.25">
      <c r="A289" t="s">
        <v>291</v>
      </c>
      <c r="B289">
        <v>86799.759449999998</v>
      </c>
      <c r="C289">
        <v>82392.333259999999</v>
      </c>
      <c r="D289">
        <v>2360</v>
      </c>
      <c r="E289" s="5">
        <f t="shared" si="17"/>
        <v>36.779559088983049</v>
      </c>
      <c r="F289" s="5">
        <f t="shared" si="20"/>
        <v>4407.4261899999983</v>
      </c>
      <c r="G289" s="5">
        <f t="shared" si="18"/>
        <v>44.074261899999982</v>
      </c>
      <c r="H289" s="5">
        <f t="shared" si="19"/>
        <v>1.8675534703389824</v>
      </c>
    </row>
    <row r="290" spans="1:8" x14ac:dyDescent="0.25">
      <c r="A290" t="s">
        <v>292</v>
      </c>
      <c r="B290">
        <v>69570.501470000003</v>
      </c>
      <c r="C290">
        <v>66313.940979999999</v>
      </c>
      <c r="D290">
        <v>1894</v>
      </c>
      <c r="E290" s="5">
        <f t="shared" si="17"/>
        <v>36.73204935058078</v>
      </c>
      <c r="F290" s="5">
        <f t="shared" si="20"/>
        <v>3256.5604900000035</v>
      </c>
      <c r="G290" s="5">
        <f t="shared" si="18"/>
        <v>32.565604900000032</v>
      </c>
      <c r="H290" s="5">
        <f t="shared" si="19"/>
        <v>1.7194089176346374</v>
      </c>
    </row>
    <row r="291" spans="1:8" x14ac:dyDescent="0.25">
      <c r="A291" t="s">
        <v>293</v>
      </c>
      <c r="B291">
        <v>130476.3553</v>
      </c>
      <c r="C291">
        <v>124398.4316</v>
      </c>
      <c r="D291">
        <v>3548</v>
      </c>
      <c r="E291" s="5">
        <f t="shared" si="17"/>
        <v>36.77462099774521</v>
      </c>
      <c r="F291" s="5">
        <f t="shared" si="20"/>
        <v>6077.9236999999994</v>
      </c>
      <c r="G291" s="5">
        <f t="shared" si="18"/>
        <v>60.779236999999995</v>
      </c>
      <c r="H291" s="5">
        <f t="shared" si="19"/>
        <v>1.713056285231116</v>
      </c>
    </row>
    <row r="292" spans="1:8" x14ac:dyDescent="0.25">
      <c r="A292" t="s">
        <v>294</v>
      </c>
      <c r="B292">
        <v>95229.773480000003</v>
      </c>
      <c r="C292">
        <v>91087.851339999994</v>
      </c>
      <c r="D292">
        <v>2591</v>
      </c>
      <c r="E292" s="5">
        <f t="shared" si="17"/>
        <v>36.754061551524508</v>
      </c>
      <c r="F292" s="5">
        <f t="shared" si="20"/>
        <v>4141.9221400000097</v>
      </c>
      <c r="G292" s="5">
        <f t="shared" si="18"/>
        <v>41.419221400000097</v>
      </c>
      <c r="H292" s="5">
        <f t="shared" si="19"/>
        <v>1.5985805248938671</v>
      </c>
    </row>
    <row r="293" spans="1:8" x14ac:dyDescent="0.25">
      <c r="A293" t="s">
        <v>295</v>
      </c>
      <c r="B293">
        <v>121057.8613</v>
      </c>
      <c r="C293">
        <v>116949.7913</v>
      </c>
      <c r="D293">
        <v>3293</v>
      </c>
      <c r="E293" s="5">
        <f t="shared" si="17"/>
        <v>36.76218077740662</v>
      </c>
      <c r="F293" s="5">
        <f t="shared" si="20"/>
        <v>4108.070000000007</v>
      </c>
      <c r="G293" s="5">
        <f t="shared" si="18"/>
        <v>41.080700000000071</v>
      </c>
      <c r="H293" s="5">
        <f t="shared" si="19"/>
        <v>1.2475159429092035</v>
      </c>
    </row>
    <row r="294" spans="1:8" x14ac:dyDescent="0.25">
      <c r="A294" t="s">
        <v>296</v>
      </c>
      <c r="B294">
        <v>169498.91639999999</v>
      </c>
      <c r="C294">
        <v>164492.9466</v>
      </c>
      <c r="D294">
        <v>4611</v>
      </c>
      <c r="E294" s="5">
        <f t="shared" si="17"/>
        <v>36.759686922576442</v>
      </c>
      <c r="F294" s="5">
        <f t="shared" si="20"/>
        <v>5005.9697999999917</v>
      </c>
      <c r="G294" s="5">
        <f t="shared" si="18"/>
        <v>50.059697999999919</v>
      </c>
      <c r="H294" s="5">
        <f t="shared" si="19"/>
        <v>1.0856581652569923</v>
      </c>
    </row>
    <row r="295" spans="1:8" x14ac:dyDescent="0.25">
      <c r="A295" t="s">
        <v>297</v>
      </c>
      <c r="B295">
        <v>90692.375880000007</v>
      </c>
      <c r="C295">
        <v>87911.211580000003</v>
      </c>
      <c r="D295">
        <v>2468</v>
      </c>
      <c r="E295" s="5">
        <f t="shared" si="17"/>
        <v>36.747315996758509</v>
      </c>
      <c r="F295" s="5">
        <f t="shared" si="20"/>
        <v>2781.164300000004</v>
      </c>
      <c r="G295" s="5">
        <f t="shared" si="18"/>
        <v>27.811643000000039</v>
      </c>
      <c r="H295" s="5">
        <f t="shared" si="19"/>
        <v>1.1268899108589967</v>
      </c>
    </row>
    <row r="296" spans="1:8" x14ac:dyDescent="0.25">
      <c r="A296" t="s">
        <v>298</v>
      </c>
      <c r="B296">
        <v>101723.91499999999</v>
      </c>
      <c r="C296">
        <v>98870.811879999994</v>
      </c>
      <c r="D296">
        <v>2773</v>
      </c>
      <c r="E296" s="5">
        <f t="shared" si="17"/>
        <v>36.68370537324197</v>
      </c>
      <c r="F296" s="5">
        <f t="shared" si="20"/>
        <v>2853.1031199999998</v>
      </c>
      <c r="G296" s="5">
        <f t="shared" si="18"/>
        <v>28.531031199999997</v>
      </c>
      <c r="H296" s="5">
        <f t="shared" si="19"/>
        <v>1.0288868085106382</v>
      </c>
    </row>
    <row r="297" spans="1:8" x14ac:dyDescent="0.25">
      <c r="A297" t="s">
        <v>299</v>
      </c>
      <c r="B297">
        <v>103395.69130000001</v>
      </c>
      <c r="C297">
        <v>100424.1557</v>
      </c>
      <c r="D297">
        <v>2815</v>
      </c>
      <c r="E297" s="5">
        <f t="shared" si="17"/>
        <v>36.730263339254002</v>
      </c>
      <c r="F297" s="5">
        <f t="shared" si="20"/>
        <v>2971.5356000000029</v>
      </c>
      <c r="G297" s="5">
        <f t="shared" si="18"/>
        <v>29.715356000000028</v>
      </c>
      <c r="H297" s="5">
        <f t="shared" si="19"/>
        <v>1.0556076731793971</v>
      </c>
    </row>
    <row r="298" spans="1:8" x14ac:dyDescent="0.25">
      <c r="A298" t="s">
        <v>300</v>
      </c>
      <c r="B298">
        <v>99075.599100000007</v>
      </c>
      <c r="C298">
        <v>96511.722160000005</v>
      </c>
      <c r="D298">
        <v>2701</v>
      </c>
      <c r="E298" s="5">
        <f t="shared" si="17"/>
        <v>36.681080747871164</v>
      </c>
      <c r="F298" s="5">
        <f t="shared" si="20"/>
        <v>2563.8769400000019</v>
      </c>
      <c r="G298" s="5">
        <f t="shared" si="18"/>
        <v>25.638769400000019</v>
      </c>
      <c r="H298" s="5">
        <f t="shared" si="19"/>
        <v>0.94923248426508766</v>
      </c>
    </row>
    <row r="299" spans="1:8" x14ac:dyDescent="0.25">
      <c r="A299" t="s">
        <v>301</v>
      </c>
      <c r="B299">
        <v>97476.144719999997</v>
      </c>
      <c r="C299">
        <v>94763.842550000001</v>
      </c>
      <c r="D299">
        <v>2651</v>
      </c>
      <c r="E299" s="5">
        <f t="shared" si="17"/>
        <v>36.769575526216521</v>
      </c>
      <c r="F299" s="5">
        <f t="shared" si="20"/>
        <v>2712.3021699999954</v>
      </c>
      <c r="G299" s="5">
        <f t="shared" si="18"/>
        <v>27.123021699999953</v>
      </c>
      <c r="H299" s="5">
        <f t="shared" si="19"/>
        <v>1.0231241682383989</v>
      </c>
    </row>
    <row r="300" spans="1:8" x14ac:dyDescent="0.25">
      <c r="A300" t="s">
        <v>302</v>
      </c>
      <c r="B300">
        <v>248974.65280000001</v>
      </c>
      <c r="C300">
        <v>241961.14319999999</v>
      </c>
      <c r="D300">
        <v>6781</v>
      </c>
      <c r="E300" s="5">
        <f t="shared" si="17"/>
        <v>36.716509777318983</v>
      </c>
      <c r="F300" s="5">
        <f t="shared" si="20"/>
        <v>7013.5096000000194</v>
      </c>
      <c r="G300" s="5">
        <f t="shared" si="18"/>
        <v>70.135096000000189</v>
      </c>
      <c r="H300" s="5">
        <f t="shared" si="19"/>
        <v>1.0342883940421794</v>
      </c>
    </row>
    <row r="301" spans="1:8" x14ac:dyDescent="0.25">
      <c r="A301" t="s">
        <v>303</v>
      </c>
      <c r="B301">
        <v>302721.68329999998</v>
      </c>
      <c r="C301">
        <v>294129.67109999998</v>
      </c>
      <c r="D301">
        <v>8249</v>
      </c>
      <c r="E301" s="5">
        <f t="shared" si="17"/>
        <v>36.69798561037701</v>
      </c>
      <c r="F301" s="5">
        <f t="shared" si="20"/>
        <v>8592.0121999999974</v>
      </c>
      <c r="G301" s="5">
        <f t="shared" si="18"/>
        <v>85.920121999999978</v>
      </c>
      <c r="H301" s="5">
        <f t="shared" si="19"/>
        <v>1.0415822766395924</v>
      </c>
    </row>
    <row r="302" spans="1:8" x14ac:dyDescent="0.25">
      <c r="A302" t="s">
        <v>304</v>
      </c>
      <c r="B302">
        <v>128520.72779999999</v>
      </c>
      <c r="C302">
        <v>124739.23390000001</v>
      </c>
      <c r="D302">
        <v>3502</v>
      </c>
      <c r="E302" s="5">
        <f t="shared" si="17"/>
        <v>36.699236950314102</v>
      </c>
      <c r="F302" s="5">
        <f t="shared" si="20"/>
        <v>3781.4938999999868</v>
      </c>
      <c r="G302" s="5">
        <f t="shared" si="18"/>
        <v>37.814938999999868</v>
      </c>
      <c r="H302" s="5">
        <f t="shared" si="19"/>
        <v>1.0798097944031944</v>
      </c>
    </row>
    <row r="303" spans="1:8" x14ac:dyDescent="0.25">
      <c r="A303" t="s">
        <v>305</v>
      </c>
      <c r="B303">
        <v>145185.2683</v>
      </c>
      <c r="C303">
        <v>140651.93719999999</v>
      </c>
      <c r="D303">
        <v>3949</v>
      </c>
      <c r="E303" s="5">
        <f t="shared" si="17"/>
        <v>36.765071739680934</v>
      </c>
      <c r="F303" s="5">
        <f t="shared" si="20"/>
        <v>4533.3311000000103</v>
      </c>
      <c r="G303" s="5">
        <f t="shared" si="18"/>
        <v>45.333311000000101</v>
      </c>
      <c r="H303" s="5">
        <f t="shared" si="19"/>
        <v>1.1479693846543455</v>
      </c>
    </row>
    <row r="304" spans="1:8" x14ac:dyDescent="0.25">
      <c r="A304" t="s">
        <v>306</v>
      </c>
      <c r="B304">
        <v>89527.556630000006</v>
      </c>
      <c r="C304">
        <v>87067.051319999999</v>
      </c>
      <c r="D304">
        <v>2435</v>
      </c>
      <c r="E304" s="5">
        <f t="shared" si="17"/>
        <v>36.766963708418892</v>
      </c>
      <c r="F304" s="5">
        <f t="shared" si="20"/>
        <v>2460.5053100000077</v>
      </c>
      <c r="G304" s="5">
        <f t="shared" si="18"/>
        <v>24.605053100000077</v>
      </c>
      <c r="H304" s="5">
        <f t="shared" si="19"/>
        <v>1.0104744599589355</v>
      </c>
    </row>
    <row r="305" spans="1:8" x14ac:dyDescent="0.25">
      <c r="A305" t="s">
        <v>307</v>
      </c>
      <c r="B305">
        <v>81991.882840000006</v>
      </c>
      <c r="C305">
        <v>80112.548009999999</v>
      </c>
      <c r="D305">
        <v>2232</v>
      </c>
      <c r="E305" s="5">
        <f t="shared" si="17"/>
        <v>36.734714534050184</v>
      </c>
      <c r="F305" s="5">
        <f t="shared" si="20"/>
        <v>1879.3348300000071</v>
      </c>
      <c r="G305" s="5">
        <f t="shared" si="18"/>
        <v>18.793348300000069</v>
      </c>
      <c r="H305" s="5">
        <f t="shared" si="19"/>
        <v>0.84199589157706412</v>
      </c>
    </row>
    <row r="306" spans="1:8" x14ac:dyDescent="0.25">
      <c r="A306" t="s">
        <v>308</v>
      </c>
      <c r="B306">
        <v>69704.491110000003</v>
      </c>
      <c r="C306">
        <v>68293.096390000006</v>
      </c>
      <c r="D306">
        <v>1898</v>
      </c>
      <c r="E306" s="5">
        <f t="shared" si="17"/>
        <v>36.725232407797684</v>
      </c>
      <c r="F306" s="5">
        <f t="shared" si="20"/>
        <v>1411.3947199999966</v>
      </c>
      <c r="G306" s="5">
        <f t="shared" si="18"/>
        <v>14.113947199999966</v>
      </c>
      <c r="H306" s="5">
        <f t="shared" si="19"/>
        <v>0.7436220864067421</v>
      </c>
    </row>
    <row r="307" spans="1:8" x14ac:dyDescent="0.25">
      <c r="A307" t="s">
        <v>309</v>
      </c>
      <c r="B307">
        <v>166652.39480000001</v>
      </c>
      <c r="C307">
        <v>163319.71650000001</v>
      </c>
      <c r="D307">
        <v>4537</v>
      </c>
      <c r="E307" s="5">
        <f t="shared" si="17"/>
        <v>36.731848093453827</v>
      </c>
      <c r="F307" s="5">
        <f t="shared" si="20"/>
        <v>3332.6782999999996</v>
      </c>
      <c r="G307" s="5">
        <f t="shared" si="18"/>
        <v>33.326782999999999</v>
      </c>
      <c r="H307" s="5">
        <f t="shared" si="19"/>
        <v>0.734555499228565</v>
      </c>
    </row>
    <row r="308" spans="1:8" x14ac:dyDescent="0.25">
      <c r="A308" t="s">
        <v>310</v>
      </c>
      <c r="B308">
        <v>247453.10219999999</v>
      </c>
      <c r="C308">
        <v>242638.80119999999</v>
      </c>
      <c r="D308">
        <v>6730</v>
      </c>
      <c r="E308" s="5">
        <f t="shared" si="17"/>
        <v>36.768663031203566</v>
      </c>
      <c r="F308" s="5">
        <f t="shared" si="20"/>
        <v>4814.3010000000068</v>
      </c>
      <c r="G308" s="5">
        <f t="shared" si="18"/>
        <v>48.143010000000068</v>
      </c>
      <c r="H308" s="5">
        <f t="shared" si="19"/>
        <v>0.7153493313521555</v>
      </c>
    </row>
    <row r="309" spans="1:8" x14ac:dyDescent="0.25">
      <c r="A309" t="s">
        <v>311</v>
      </c>
      <c r="B309">
        <v>148476.18119999999</v>
      </c>
      <c r="C309">
        <v>145646.33679999999</v>
      </c>
      <c r="D309">
        <v>4038</v>
      </c>
      <c r="E309" s="5">
        <f t="shared" si="17"/>
        <v>36.769732838038628</v>
      </c>
      <c r="F309" s="5">
        <f t="shared" si="20"/>
        <v>2829.8444000000018</v>
      </c>
      <c r="G309" s="5">
        <f t="shared" si="18"/>
        <v>28.298444000000018</v>
      </c>
      <c r="H309" s="5">
        <f t="shared" si="19"/>
        <v>0.70080346706290286</v>
      </c>
    </row>
    <row r="310" spans="1:8" x14ac:dyDescent="0.25">
      <c r="A310" t="s">
        <v>312</v>
      </c>
      <c r="B310">
        <v>205368.92259999999</v>
      </c>
      <c r="C310">
        <v>201281.239</v>
      </c>
      <c r="D310">
        <v>5581</v>
      </c>
      <c r="E310" s="5">
        <f t="shared" si="17"/>
        <v>36.7978718150869</v>
      </c>
      <c r="F310" s="5">
        <f t="shared" si="20"/>
        <v>4087.6835999999894</v>
      </c>
      <c r="G310" s="5">
        <f t="shared" si="18"/>
        <v>40.876835999999891</v>
      </c>
      <c r="H310" s="5">
        <f t="shared" si="19"/>
        <v>0.73242852535387737</v>
      </c>
    </row>
    <row r="311" spans="1:8" x14ac:dyDescent="0.25">
      <c r="A311" t="s">
        <v>313</v>
      </c>
      <c r="B311">
        <v>99244.681849999994</v>
      </c>
      <c r="C311">
        <v>90949.442249999993</v>
      </c>
      <c r="D311">
        <v>2519</v>
      </c>
      <c r="E311" s="5">
        <f t="shared" si="17"/>
        <v>39.398444561333861</v>
      </c>
      <c r="F311" s="5">
        <f t="shared" si="20"/>
        <v>8295.2396000000008</v>
      </c>
      <c r="G311" s="5">
        <f t="shared" si="18"/>
        <v>82.952396000000007</v>
      </c>
      <c r="H311" s="5">
        <f t="shared" si="19"/>
        <v>3.2930685192536724</v>
      </c>
    </row>
    <row r="312" spans="1:8" x14ac:dyDescent="0.25">
      <c r="A312" t="s">
        <v>314</v>
      </c>
      <c r="B312">
        <v>72756.863100000002</v>
      </c>
      <c r="C312">
        <v>67872.77433</v>
      </c>
      <c r="D312">
        <v>1847</v>
      </c>
      <c r="E312" s="5">
        <f t="shared" si="17"/>
        <v>39.391912885760696</v>
      </c>
      <c r="F312" s="5">
        <f t="shared" si="20"/>
        <v>4884.0887700000021</v>
      </c>
      <c r="G312" s="5">
        <f t="shared" si="18"/>
        <v>48.840887700000025</v>
      </c>
      <c r="H312" s="5">
        <f t="shared" si="19"/>
        <v>2.6443360963724971</v>
      </c>
    </row>
    <row r="313" spans="1:8" x14ac:dyDescent="0.25">
      <c r="A313" t="s">
        <v>315</v>
      </c>
      <c r="B313">
        <v>86867.458079999997</v>
      </c>
      <c r="C313">
        <v>84486.086089999997</v>
      </c>
      <c r="D313">
        <v>2309</v>
      </c>
      <c r="E313" s="5">
        <f t="shared" si="17"/>
        <v>37.621246461671717</v>
      </c>
      <c r="F313" s="5">
        <f t="shared" si="20"/>
        <v>2381.3719899999996</v>
      </c>
      <c r="G313" s="5">
        <f t="shared" si="18"/>
        <v>23.813719899999995</v>
      </c>
      <c r="H313" s="5">
        <f t="shared" si="19"/>
        <v>1.0313434343871803</v>
      </c>
    </row>
    <row r="314" spans="1:8" x14ac:dyDescent="0.25">
      <c r="A314" t="s">
        <v>316</v>
      </c>
      <c r="B314">
        <v>140167.8039</v>
      </c>
      <c r="C314">
        <v>136539.20329999999</v>
      </c>
      <c r="D314">
        <v>3722</v>
      </c>
      <c r="E314" s="5">
        <f t="shared" si="17"/>
        <v>37.659270257925847</v>
      </c>
      <c r="F314" s="5">
        <f t="shared" si="20"/>
        <v>3628.6006000000052</v>
      </c>
      <c r="G314" s="5">
        <f t="shared" si="18"/>
        <v>36.28600600000005</v>
      </c>
      <c r="H314" s="5">
        <f t="shared" si="19"/>
        <v>0.97490612573885149</v>
      </c>
    </row>
    <row r="315" spans="1:8" x14ac:dyDescent="0.25">
      <c r="A315" t="s">
        <v>317</v>
      </c>
      <c r="B315">
        <v>160727.3028</v>
      </c>
      <c r="C315">
        <v>156700.82500000001</v>
      </c>
      <c r="D315">
        <v>4268</v>
      </c>
      <c r="E315" s="5">
        <f t="shared" si="17"/>
        <v>37.658693252108719</v>
      </c>
      <c r="F315" s="5">
        <f t="shared" si="20"/>
        <v>4026.4777999999933</v>
      </c>
      <c r="G315" s="5">
        <f t="shared" si="18"/>
        <v>40.264777999999936</v>
      </c>
      <c r="H315" s="5">
        <f t="shared" si="19"/>
        <v>0.94341091846297875</v>
      </c>
    </row>
    <row r="316" spans="1:8" x14ac:dyDescent="0.25">
      <c r="A316" t="s">
        <v>318</v>
      </c>
      <c r="B316">
        <v>74115.628779999999</v>
      </c>
      <c r="C316">
        <v>71994.346390000006</v>
      </c>
      <c r="D316">
        <v>1968</v>
      </c>
      <c r="E316" s="5">
        <f t="shared" si="17"/>
        <v>37.660380477642278</v>
      </c>
      <c r="F316" s="5">
        <f t="shared" si="20"/>
        <v>2121.282389999993</v>
      </c>
      <c r="G316" s="5">
        <f t="shared" si="18"/>
        <v>21.212823899999929</v>
      </c>
      <c r="H316" s="5">
        <f t="shared" si="19"/>
        <v>1.0778873932926794</v>
      </c>
    </row>
    <row r="317" spans="1:8" x14ac:dyDescent="0.25">
      <c r="A317" t="s">
        <v>319</v>
      </c>
      <c r="B317">
        <v>76103.291519999999</v>
      </c>
      <c r="C317">
        <v>73967.605689999997</v>
      </c>
      <c r="D317">
        <v>2016</v>
      </c>
      <c r="E317" s="5">
        <f t="shared" si="17"/>
        <v>37.749648571428573</v>
      </c>
      <c r="F317" s="5">
        <f t="shared" si="20"/>
        <v>2135.6858300000022</v>
      </c>
      <c r="G317" s="5">
        <f t="shared" si="18"/>
        <v>21.35685830000002</v>
      </c>
      <c r="H317" s="5">
        <f t="shared" si="19"/>
        <v>1.0593679712301598</v>
      </c>
    </row>
    <row r="318" spans="1:8" x14ac:dyDescent="0.25">
      <c r="A318" t="s">
        <v>320</v>
      </c>
      <c r="B318">
        <v>56303.366569999998</v>
      </c>
      <c r="C318">
        <v>54996.866609999997</v>
      </c>
      <c r="D318">
        <v>1497</v>
      </c>
      <c r="E318" s="5">
        <f t="shared" si="17"/>
        <v>37.610799311957244</v>
      </c>
      <c r="F318" s="5">
        <f t="shared" si="20"/>
        <v>1306.499960000001</v>
      </c>
      <c r="G318" s="5">
        <f t="shared" si="18"/>
        <v>13.064999600000011</v>
      </c>
      <c r="H318" s="5">
        <f t="shared" si="19"/>
        <v>0.87274546426185773</v>
      </c>
    </row>
    <row r="319" spans="1:8" x14ac:dyDescent="0.25">
      <c r="A319" t="s">
        <v>321</v>
      </c>
      <c r="B319">
        <v>49436.815860000002</v>
      </c>
      <c r="C319">
        <v>48289.89228</v>
      </c>
      <c r="D319">
        <v>1314</v>
      </c>
      <c r="E319" s="5">
        <f t="shared" si="17"/>
        <v>37.623147534246577</v>
      </c>
      <c r="F319" s="5">
        <f t="shared" si="20"/>
        <v>1146.9235800000024</v>
      </c>
      <c r="G319" s="5">
        <f t="shared" si="18"/>
        <v>11.469235800000025</v>
      </c>
      <c r="H319" s="5">
        <f t="shared" si="19"/>
        <v>0.8728489954337918</v>
      </c>
    </row>
    <row r="320" spans="1:8" x14ac:dyDescent="0.25">
      <c r="A320" t="s">
        <v>322</v>
      </c>
      <c r="B320">
        <v>55033.1224</v>
      </c>
      <c r="C320">
        <v>53997.218869999997</v>
      </c>
      <c r="D320">
        <v>1466</v>
      </c>
      <c r="E320" s="5">
        <f t="shared" si="17"/>
        <v>37.539646930422919</v>
      </c>
      <c r="F320" s="5">
        <f t="shared" si="20"/>
        <v>1035.9035300000032</v>
      </c>
      <c r="G320" s="5">
        <f t="shared" si="18"/>
        <v>10.359035300000032</v>
      </c>
      <c r="H320" s="5">
        <f t="shared" si="19"/>
        <v>0.70661905184174845</v>
      </c>
    </row>
    <row r="321" spans="1:8" x14ac:dyDescent="0.25">
      <c r="A321" t="s">
        <v>323</v>
      </c>
      <c r="B321">
        <v>149808.16589999999</v>
      </c>
      <c r="C321">
        <v>146994.89550000001</v>
      </c>
      <c r="D321">
        <v>3984</v>
      </c>
      <c r="E321" s="5">
        <f t="shared" si="17"/>
        <v>37.602451280120484</v>
      </c>
      <c r="F321" s="5">
        <f t="shared" si="20"/>
        <v>2813.2703999999794</v>
      </c>
      <c r="G321" s="5">
        <f t="shared" si="18"/>
        <v>28.132703999999794</v>
      </c>
      <c r="H321" s="5">
        <f t="shared" si="19"/>
        <v>0.70614216867469359</v>
      </c>
    </row>
    <row r="322" spans="1:8" x14ac:dyDescent="0.25">
      <c r="A322" t="s">
        <v>324</v>
      </c>
      <c r="B322">
        <v>180685.51070000001</v>
      </c>
      <c r="C322">
        <v>176898.27780000001</v>
      </c>
      <c r="D322">
        <v>4802</v>
      </c>
      <c r="E322" s="5">
        <f t="shared" si="17"/>
        <v>37.627136755518535</v>
      </c>
      <c r="F322" s="5">
        <f t="shared" si="20"/>
        <v>3787.2329000000027</v>
      </c>
      <c r="G322" s="5">
        <f t="shared" si="18"/>
        <v>37.872329000000029</v>
      </c>
      <c r="H322" s="5">
        <f t="shared" si="19"/>
        <v>0.78867823823406968</v>
      </c>
    </row>
    <row r="323" spans="1:8" x14ac:dyDescent="0.25">
      <c r="A323" t="s">
        <v>325</v>
      </c>
      <c r="B323">
        <v>75871.43677</v>
      </c>
      <c r="C323">
        <v>73905.810159999994</v>
      </c>
      <c r="D323">
        <v>2017</v>
      </c>
      <c r="E323" s="5">
        <f t="shared" ref="E323:E386" si="21">B323/D323</f>
        <v>37.615982533465541</v>
      </c>
      <c r="F323" s="5">
        <f t="shared" si="20"/>
        <v>1965.6266100000066</v>
      </c>
      <c r="G323" s="5">
        <f t="shared" ref="G323:G386" si="22">F323/100</f>
        <v>19.656266100000067</v>
      </c>
      <c r="H323" s="5">
        <f t="shared" ref="H323:H386" si="23">F323/D323</f>
        <v>0.97452980168567505</v>
      </c>
    </row>
    <row r="324" spans="1:8" x14ac:dyDescent="0.25">
      <c r="A324" t="s">
        <v>326</v>
      </c>
      <c r="B324">
        <v>86313.334080000001</v>
      </c>
      <c r="C324">
        <v>84418.789109999998</v>
      </c>
      <c r="D324">
        <v>2297</v>
      </c>
      <c r="E324" s="5">
        <f t="shared" si="21"/>
        <v>37.576549447104917</v>
      </c>
      <c r="F324" s="5">
        <f t="shared" si="20"/>
        <v>1894.5449700000026</v>
      </c>
      <c r="G324" s="5">
        <f t="shared" si="22"/>
        <v>18.945449700000026</v>
      </c>
      <c r="H324" s="5">
        <f t="shared" si="23"/>
        <v>0.82479101872007077</v>
      </c>
    </row>
    <row r="325" spans="1:8" x14ac:dyDescent="0.25">
      <c r="A325" t="s">
        <v>327</v>
      </c>
      <c r="B325">
        <v>62631.798750000002</v>
      </c>
      <c r="C325">
        <v>61158.361089999999</v>
      </c>
      <c r="D325">
        <v>1665</v>
      </c>
      <c r="E325" s="5">
        <f t="shared" si="21"/>
        <v>37.616695945945949</v>
      </c>
      <c r="F325" s="5">
        <f t="shared" si="20"/>
        <v>1473.4376600000032</v>
      </c>
      <c r="G325" s="5">
        <f t="shared" si="22"/>
        <v>14.734376600000033</v>
      </c>
      <c r="H325" s="5">
        <f t="shared" si="23"/>
        <v>0.88494754354354543</v>
      </c>
    </row>
    <row r="326" spans="1:8" x14ac:dyDescent="0.25">
      <c r="A326" t="s">
        <v>328</v>
      </c>
      <c r="B326">
        <v>48529.103360000001</v>
      </c>
      <c r="C326">
        <v>47409.554060000002</v>
      </c>
      <c r="D326">
        <v>1291</v>
      </c>
      <c r="E326" s="5">
        <f t="shared" si="21"/>
        <v>37.590320185902399</v>
      </c>
      <c r="F326" s="5">
        <f t="shared" si="20"/>
        <v>1119.5492999999988</v>
      </c>
      <c r="G326" s="5">
        <f t="shared" si="22"/>
        <v>11.195492999999988</v>
      </c>
      <c r="H326" s="5">
        <f t="shared" si="23"/>
        <v>0.86719542989930187</v>
      </c>
    </row>
    <row r="327" spans="1:8" x14ac:dyDescent="0.25">
      <c r="A327" t="s">
        <v>329</v>
      </c>
      <c r="B327">
        <v>51040.881370000003</v>
      </c>
      <c r="C327">
        <v>50038.142630000002</v>
      </c>
      <c r="D327">
        <v>1361</v>
      </c>
      <c r="E327" s="5">
        <f t="shared" si="21"/>
        <v>37.502484474650991</v>
      </c>
      <c r="F327" s="5">
        <f t="shared" si="20"/>
        <v>1002.7387400000007</v>
      </c>
      <c r="G327" s="5">
        <f t="shared" si="22"/>
        <v>10.027387400000007</v>
      </c>
      <c r="H327" s="5">
        <f t="shared" si="23"/>
        <v>0.73676615723732597</v>
      </c>
    </row>
    <row r="328" spans="1:8" x14ac:dyDescent="0.25">
      <c r="A328" t="s">
        <v>330</v>
      </c>
      <c r="B328">
        <v>53973.92224</v>
      </c>
      <c r="C328">
        <v>47192.49828</v>
      </c>
      <c r="D328">
        <v>1281</v>
      </c>
      <c r="E328" s="5">
        <f t="shared" si="21"/>
        <v>42.134209398907103</v>
      </c>
      <c r="F328" s="5">
        <f t="shared" si="20"/>
        <v>6781.4239600000001</v>
      </c>
      <c r="G328" s="5">
        <f t="shared" si="22"/>
        <v>67.814239600000008</v>
      </c>
      <c r="H328" s="5">
        <f t="shared" si="23"/>
        <v>5.2938516471506638</v>
      </c>
    </row>
    <row r="329" spans="1:8" x14ac:dyDescent="0.25">
      <c r="A329" t="s">
        <v>331</v>
      </c>
      <c r="B329">
        <v>47497.982530000001</v>
      </c>
      <c r="C329">
        <v>41179.088250000001</v>
      </c>
      <c r="D329">
        <v>1122</v>
      </c>
      <c r="E329" s="5">
        <f t="shared" si="21"/>
        <v>42.33331776292335</v>
      </c>
      <c r="F329" s="5">
        <f t="shared" si="20"/>
        <v>6318.8942800000004</v>
      </c>
      <c r="G329" s="5">
        <f t="shared" si="22"/>
        <v>63.188942800000007</v>
      </c>
      <c r="H329" s="5">
        <f t="shared" si="23"/>
        <v>5.6318130837789662</v>
      </c>
    </row>
    <row r="330" spans="1:8" x14ac:dyDescent="0.25">
      <c r="A330" t="s">
        <v>332</v>
      </c>
      <c r="B330">
        <v>31219.951529999998</v>
      </c>
      <c r="C330">
        <v>26893.304680000001</v>
      </c>
      <c r="D330">
        <v>737</v>
      </c>
      <c r="E330" s="5">
        <f t="shared" si="21"/>
        <v>42.360856892808684</v>
      </c>
      <c r="F330" s="5">
        <f t="shared" si="20"/>
        <v>4326.6468499999974</v>
      </c>
      <c r="G330" s="5">
        <f t="shared" si="22"/>
        <v>43.266468499999974</v>
      </c>
      <c r="H330" s="5">
        <f t="shared" si="23"/>
        <v>5.870619877883307</v>
      </c>
    </row>
    <row r="331" spans="1:8" x14ac:dyDescent="0.25">
      <c r="A331" t="s">
        <v>333</v>
      </c>
      <c r="B331">
        <v>26870.32387</v>
      </c>
      <c r="C331">
        <v>23516.041720000001</v>
      </c>
      <c r="D331">
        <v>641</v>
      </c>
      <c r="E331" s="5">
        <f t="shared" si="21"/>
        <v>41.919382012480497</v>
      </c>
      <c r="F331" s="5">
        <f t="shared" si="20"/>
        <v>3354.2821499999991</v>
      </c>
      <c r="G331" s="5">
        <f t="shared" si="22"/>
        <v>33.542821499999988</v>
      </c>
      <c r="H331" s="5">
        <f t="shared" si="23"/>
        <v>5.2328894695787813</v>
      </c>
    </row>
    <row r="332" spans="1:8" x14ac:dyDescent="0.25">
      <c r="A332" t="s">
        <v>334</v>
      </c>
      <c r="B332">
        <v>40530.642290000003</v>
      </c>
      <c r="C332">
        <v>35674.190759999998</v>
      </c>
      <c r="D332">
        <v>968</v>
      </c>
      <c r="E332" s="5">
        <f t="shared" si="21"/>
        <v>41.870498233471075</v>
      </c>
      <c r="F332" s="5">
        <f t="shared" si="20"/>
        <v>4856.4515300000057</v>
      </c>
      <c r="G332" s="5">
        <f t="shared" si="22"/>
        <v>48.56451530000006</v>
      </c>
      <c r="H332" s="5">
        <f t="shared" si="23"/>
        <v>5.0169953822314106</v>
      </c>
    </row>
    <row r="333" spans="1:8" x14ac:dyDescent="0.25">
      <c r="A333" t="s">
        <v>335</v>
      </c>
      <c r="B333">
        <v>30371.431339999999</v>
      </c>
      <c r="C333">
        <v>26054.849170000001</v>
      </c>
      <c r="D333">
        <v>709</v>
      </c>
      <c r="E333" s="5">
        <f t="shared" si="21"/>
        <v>42.836997658674186</v>
      </c>
      <c r="F333" s="5">
        <f t="shared" si="20"/>
        <v>4316.5821699999979</v>
      </c>
      <c r="G333" s="5">
        <f t="shared" si="22"/>
        <v>43.165821699999981</v>
      </c>
      <c r="H333" s="5">
        <f t="shared" si="23"/>
        <v>6.0882682228490799</v>
      </c>
    </row>
    <row r="334" spans="1:8" x14ac:dyDescent="0.25">
      <c r="A334" t="s">
        <v>336</v>
      </c>
      <c r="B334">
        <v>37776.658770000002</v>
      </c>
      <c r="C334">
        <v>32719.689640000001</v>
      </c>
      <c r="D334">
        <v>880</v>
      </c>
      <c r="E334" s="5">
        <f t="shared" si="21"/>
        <v>42.928021329545459</v>
      </c>
      <c r="F334" s="5">
        <f t="shared" si="20"/>
        <v>5056.9691300000013</v>
      </c>
      <c r="G334" s="5">
        <f t="shared" si="22"/>
        <v>50.569691300000017</v>
      </c>
      <c r="H334" s="5">
        <f t="shared" si="23"/>
        <v>5.7465558295454562</v>
      </c>
    </row>
    <row r="335" spans="1:8" x14ac:dyDescent="0.25">
      <c r="A335" t="s">
        <v>337</v>
      </c>
      <c r="B335">
        <v>46818.205320000001</v>
      </c>
      <c r="C335">
        <v>40652.576410000001</v>
      </c>
      <c r="D335">
        <v>1096</v>
      </c>
      <c r="E335" s="5">
        <f t="shared" si="21"/>
        <v>42.717340620437959</v>
      </c>
      <c r="F335" s="5">
        <f t="shared" si="20"/>
        <v>6165.6289099999995</v>
      </c>
      <c r="G335" s="5">
        <f t="shared" si="22"/>
        <v>61.656289099999995</v>
      </c>
      <c r="H335" s="5">
        <f t="shared" si="23"/>
        <v>5.6255738229926999</v>
      </c>
    </row>
    <row r="336" spans="1:8" x14ac:dyDescent="0.25">
      <c r="A336" t="s">
        <v>338</v>
      </c>
      <c r="B336">
        <v>88321.625549999997</v>
      </c>
      <c r="C336">
        <v>79880.24368</v>
      </c>
      <c r="D336">
        <v>2068</v>
      </c>
      <c r="E336" s="5">
        <f t="shared" si="21"/>
        <v>42.708716416827855</v>
      </c>
      <c r="F336" s="5">
        <f t="shared" si="20"/>
        <v>8441.3818699999974</v>
      </c>
      <c r="G336" s="5">
        <f t="shared" si="22"/>
        <v>84.413818699999979</v>
      </c>
      <c r="H336" s="5">
        <f t="shared" si="23"/>
        <v>4.0819061266924557</v>
      </c>
    </row>
    <row r="337" spans="1:8" x14ac:dyDescent="0.25">
      <c r="A337" t="s">
        <v>339</v>
      </c>
      <c r="B337">
        <v>101037.8278</v>
      </c>
      <c r="C337">
        <v>93177.884699999995</v>
      </c>
      <c r="D337">
        <v>2375</v>
      </c>
      <c r="E337" s="5">
        <f t="shared" si="21"/>
        <v>42.542243284210528</v>
      </c>
      <c r="F337" s="5">
        <f t="shared" si="20"/>
        <v>7859.9431000000041</v>
      </c>
      <c r="G337" s="5">
        <f t="shared" si="22"/>
        <v>78.599431000000038</v>
      </c>
      <c r="H337" s="5">
        <f t="shared" si="23"/>
        <v>3.3094497263157914</v>
      </c>
    </row>
    <row r="338" spans="1:8" x14ac:dyDescent="0.25">
      <c r="A338" t="s">
        <v>340</v>
      </c>
      <c r="B338">
        <v>105100.6676</v>
      </c>
      <c r="C338">
        <v>97257.394669999994</v>
      </c>
      <c r="D338">
        <v>2492</v>
      </c>
      <c r="E338" s="5">
        <f t="shared" si="21"/>
        <v>42.175227768860353</v>
      </c>
      <c r="F338" s="5">
        <f t="shared" si="20"/>
        <v>7843.2729300000065</v>
      </c>
      <c r="G338" s="5">
        <f t="shared" si="22"/>
        <v>78.432729300000062</v>
      </c>
      <c r="H338" s="5">
        <f t="shared" si="23"/>
        <v>3.1473807905296978</v>
      </c>
    </row>
    <row r="339" spans="1:8" x14ac:dyDescent="0.25">
      <c r="A339" t="s">
        <v>341</v>
      </c>
      <c r="B339">
        <v>88219.52549</v>
      </c>
      <c r="C339">
        <v>85533.428920000006</v>
      </c>
      <c r="D339">
        <v>2170</v>
      </c>
      <c r="E339" s="5">
        <f t="shared" si="21"/>
        <v>40.654159211981565</v>
      </c>
      <c r="F339" s="5">
        <f t="shared" si="20"/>
        <v>2686.0965699999942</v>
      </c>
      <c r="G339" s="5">
        <f t="shared" si="22"/>
        <v>26.860965699999941</v>
      </c>
      <c r="H339" s="5">
        <f t="shared" si="23"/>
        <v>1.2378325207373246</v>
      </c>
    </row>
    <row r="340" spans="1:8" x14ac:dyDescent="0.25">
      <c r="A340" t="s">
        <v>342</v>
      </c>
      <c r="B340">
        <v>71590.369290000002</v>
      </c>
      <c r="C340">
        <v>69654.930309999996</v>
      </c>
      <c r="D340">
        <v>1784</v>
      </c>
      <c r="E340" s="5">
        <f t="shared" si="21"/>
        <v>40.12913076793722</v>
      </c>
      <c r="F340" s="5">
        <f t="shared" si="20"/>
        <v>1935.4389800000063</v>
      </c>
      <c r="G340" s="5">
        <f t="shared" si="22"/>
        <v>19.354389800000064</v>
      </c>
      <c r="H340" s="5">
        <f t="shared" si="23"/>
        <v>1.0848873206278062</v>
      </c>
    </row>
    <row r="341" spans="1:8" x14ac:dyDescent="0.25">
      <c r="A341" t="s">
        <v>343</v>
      </c>
      <c r="B341">
        <v>54996.62169</v>
      </c>
      <c r="C341">
        <v>54503.028550000003</v>
      </c>
      <c r="D341">
        <v>1368</v>
      </c>
      <c r="E341" s="5">
        <f t="shared" si="21"/>
        <v>40.202208837719297</v>
      </c>
      <c r="F341" s="5">
        <f t="shared" ref="F341:F404" si="24" xml:space="preserve"> B341-C341</f>
        <v>493.59313999999722</v>
      </c>
      <c r="G341" s="5">
        <f t="shared" si="22"/>
        <v>4.9359313999999719</v>
      </c>
      <c r="H341" s="5">
        <f t="shared" si="23"/>
        <v>0.36081369883040731</v>
      </c>
    </row>
    <row r="342" spans="1:8" x14ac:dyDescent="0.25">
      <c r="A342" t="s">
        <v>344</v>
      </c>
      <c r="B342">
        <v>77884.18161</v>
      </c>
      <c r="C342">
        <v>77619.294890000005</v>
      </c>
      <c r="D342">
        <v>1914</v>
      </c>
      <c r="E342" s="5">
        <f t="shared" si="21"/>
        <v>40.691839921630091</v>
      </c>
      <c r="F342" s="5">
        <f t="shared" si="24"/>
        <v>264.88671999999497</v>
      </c>
      <c r="G342" s="5">
        <f t="shared" si="22"/>
        <v>2.6488671999999496</v>
      </c>
      <c r="H342" s="5">
        <f t="shared" si="23"/>
        <v>0.13839431556948537</v>
      </c>
    </row>
    <row r="343" spans="1:8" x14ac:dyDescent="0.25">
      <c r="A343" t="s">
        <v>345</v>
      </c>
      <c r="B343">
        <v>150370.11670000001</v>
      </c>
      <c r="C343">
        <v>154998.8346</v>
      </c>
      <c r="D343">
        <v>3765</v>
      </c>
      <c r="E343" s="5">
        <f t="shared" si="21"/>
        <v>39.9389420185923</v>
      </c>
      <c r="F343" s="5">
        <f t="shared" si="24"/>
        <v>-4628.7178999999887</v>
      </c>
      <c r="G343" s="5">
        <f t="shared" si="22"/>
        <v>-46.287178999999888</v>
      </c>
      <c r="H343" s="5">
        <f t="shared" si="23"/>
        <v>-1.2294071447543131</v>
      </c>
    </row>
    <row r="344" spans="1:8" x14ac:dyDescent="0.25">
      <c r="A344" t="s">
        <v>346</v>
      </c>
      <c r="B344">
        <v>104675.37609999999</v>
      </c>
      <c r="C344">
        <v>111903.73789999999</v>
      </c>
      <c r="D344">
        <v>2712</v>
      </c>
      <c r="E344" s="5">
        <f t="shared" si="21"/>
        <v>38.59711508112094</v>
      </c>
      <c r="F344" s="5">
        <f t="shared" si="24"/>
        <v>-7228.3617999999988</v>
      </c>
      <c r="G344" s="5">
        <f t="shared" si="22"/>
        <v>-72.28361799999999</v>
      </c>
      <c r="H344" s="5">
        <f t="shared" si="23"/>
        <v>-2.6653251474926249</v>
      </c>
    </row>
    <row r="345" spans="1:8" x14ac:dyDescent="0.25">
      <c r="A345" t="s">
        <v>347</v>
      </c>
      <c r="B345">
        <v>90121.530480000001</v>
      </c>
      <c r="C345">
        <v>91081.668189999997</v>
      </c>
      <c r="D345">
        <v>2222</v>
      </c>
      <c r="E345" s="5">
        <f t="shared" si="21"/>
        <v>40.55874459045905</v>
      </c>
      <c r="F345" s="5">
        <f t="shared" si="24"/>
        <v>-960.13770999999542</v>
      </c>
      <c r="G345" s="5">
        <f t="shared" si="22"/>
        <v>-9.6013770999999544</v>
      </c>
      <c r="H345" s="5">
        <f t="shared" si="23"/>
        <v>-0.43210518001799975</v>
      </c>
    </row>
    <row r="346" spans="1:8" x14ac:dyDescent="0.25">
      <c r="A346" t="s">
        <v>348</v>
      </c>
      <c r="B346">
        <v>75425.443700000003</v>
      </c>
      <c r="C346">
        <v>77014.255959999995</v>
      </c>
      <c r="D346">
        <v>1861</v>
      </c>
      <c r="E346" s="5">
        <f t="shared" si="21"/>
        <v>40.529523750671686</v>
      </c>
      <c r="F346" s="5">
        <f t="shared" si="24"/>
        <v>-1588.8122599999915</v>
      </c>
      <c r="G346" s="5">
        <f t="shared" si="22"/>
        <v>-15.888122599999916</v>
      </c>
      <c r="H346" s="5">
        <f t="shared" si="23"/>
        <v>-0.8537411391724834</v>
      </c>
    </row>
    <row r="347" spans="1:8" x14ac:dyDescent="0.25">
      <c r="A347" t="s">
        <v>349</v>
      </c>
      <c r="B347">
        <v>161844.8094</v>
      </c>
      <c r="C347">
        <v>169348.51860000001</v>
      </c>
      <c r="D347">
        <v>4095</v>
      </c>
      <c r="E347" s="5">
        <f t="shared" si="21"/>
        <v>39.522541978021977</v>
      </c>
      <c r="F347" s="5">
        <f t="shared" si="24"/>
        <v>-7503.7092000000121</v>
      </c>
      <c r="G347" s="5">
        <f t="shared" si="22"/>
        <v>-75.037092000000115</v>
      </c>
      <c r="H347" s="5">
        <f t="shared" si="23"/>
        <v>-1.8324076190476219</v>
      </c>
    </row>
    <row r="348" spans="1:8" x14ac:dyDescent="0.25">
      <c r="A348" t="s">
        <v>350</v>
      </c>
      <c r="B348">
        <v>158603.35699999999</v>
      </c>
      <c r="C348">
        <v>171692.99359999999</v>
      </c>
      <c r="D348">
        <v>4157</v>
      </c>
      <c r="E348" s="5">
        <f t="shared" si="21"/>
        <v>38.153321385614625</v>
      </c>
      <c r="F348" s="5">
        <f t="shared" si="24"/>
        <v>-13089.636599999998</v>
      </c>
      <c r="G348" s="5">
        <f t="shared" si="22"/>
        <v>-130.89636599999997</v>
      </c>
      <c r="H348" s="5">
        <f t="shared" si="23"/>
        <v>-3.1488180418571079</v>
      </c>
    </row>
    <row r="349" spans="1:8" x14ac:dyDescent="0.25">
      <c r="A349" t="s">
        <v>351</v>
      </c>
      <c r="B349">
        <v>279092.09600000002</v>
      </c>
      <c r="C349">
        <v>301236.10989999998</v>
      </c>
      <c r="D349">
        <v>7259</v>
      </c>
      <c r="E349" s="5">
        <f t="shared" si="21"/>
        <v>38.447733296597328</v>
      </c>
      <c r="F349" s="5">
        <f t="shared" si="24"/>
        <v>-22144.013899999962</v>
      </c>
      <c r="G349" s="5">
        <f t="shared" si="22"/>
        <v>-221.44013899999962</v>
      </c>
      <c r="H349" s="5">
        <f t="shared" si="23"/>
        <v>-3.0505598429535694</v>
      </c>
    </row>
    <row r="350" spans="1:8" x14ac:dyDescent="0.25">
      <c r="A350" t="s">
        <v>352</v>
      </c>
      <c r="B350">
        <v>369350.98950000003</v>
      </c>
      <c r="C350">
        <v>402564.67859999998</v>
      </c>
      <c r="D350">
        <v>9654</v>
      </c>
      <c r="E350" s="5">
        <f t="shared" si="21"/>
        <v>38.258855344934744</v>
      </c>
      <c r="F350" s="5">
        <f t="shared" si="24"/>
        <v>-33213.68909999996</v>
      </c>
      <c r="G350" s="5">
        <f t="shared" si="22"/>
        <v>-332.13689099999959</v>
      </c>
      <c r="H350" s="5">
        <f t="shared" si="23"/>
        <v>-3.4404069919204434</v>
      </c>
    </row>
    <row r="351" spans="1:8" x14ac:dyDescent="0.25">
      <c r="A351" t="s">
        <v>353</v>
      </c>
      <c r="B351">
        <v>177500.10769999999</v>
      </c>
      <c r="C351">
        <v>192327.32070000001</v>
      </c>
      <c r="D351">
        <v>4632</v>
      </c>
      <c r="E351" s="5">
        <f t="shared" si="21"/>
        <v>38.320403216753022</v>
      </c>
      <c r="F351" s="5">
        <f t="shared" si="24"/>
        <v>-14827.213000000018</v>
      </c>
      <c r="G351" s="5">
        <f t="shared" si="22"/>
        <v>-148.27213000000017</v>
      </c>
      <c r="H351" s="5">
        <f t="shared" si="23"/>
        <v>-3.2010390759930956</v>
      </c>
    </row>
    <row r="352" spans="1:8" x14ac:dyDescent="0.25">
      <c r="A352" t="s">
        <v>354</v>
      </c>
      <c r="B352">
        <v>282246.6287</v>
      </c>
      <c r="C352">
        <v>304489.63829999999</v>
      </c>
      <c r="D352">
        <v>7341</v>
      </c>
      <c r="E352" s="5">
        <f t="shared" si="21"/>
        <v>38.447981024383601</v>
      </c>
      <c r="F352" s="5">
        <f t="shared" si="24"/>
        <v>-22243.00959999999</v>
      </c>
      <c r="G352" s="5">
        <f t="shared" si="22"/>
        <v>-222.43009599999991</v>
      </c>
      <c r="H352" s="5">
        <f t="shared" si="23"/>
        <v>-3.0299699768423909</v>
      </c>
    </row>
    <row r="353" spans="1:8" x14ac:dyDescent="0.25">
      <c r="A353" t="s">
        <v>355</v>
      </c>
      <c r="B353">
        <v>166037.92569999999</v>
      </c>
      <c r="C353">
        <v>179571.12909999999</v>
      </c>
      <c r="D353">
        <v>4308</v>
      </c>
      <c r="E353" s="5">
        <f t="shared" si="21"/>
        <v>38.541765482822655</v>
      </c>
      <c r="F353" s="5">
        <f t="shared" si="24"/>
        <v>-13533.203399999999</v>
      </c>
      <c r="G353" s="5">
        <f t="shared" si="22"/>
        <v>-135.33203399999999</v>
      </c>
      <c r="H353" s="5">
        <f t="shared" si="23"/>
        <v>-3.1414121169916429</v>
      </c>
    </row>
    <row r="354" spans="1:8" x14ac:dyDescent="0.25">
      <c r="A354" t="s">
        <v>356</v>
      </c>
      <c r="B354">
        <v>148910.99840000001</v>
      </c>
      <c r="C354">
        <v>161137.522</v>
      </c>
      <c r="D354">
        <v>3865</v>
      </c>
      <c r="E354" s="5">
        <f t="shared" si="21"/>
        <v>38.52807203104787</v>
      </c>
      <c r="F354" s="5">
        <f t="shared" si="24"/>
        <v>-12226.523599999986</v>
      </c>
      <c r="G354" s="5">
        <f t="shared" si="22"/>
        <v>-122.26523599999986</v>
      </c>
      <c r="H354" s="5">
        <f t="shared" si="23"/>
        <v>-3.1633954980595047</v>
      </c>
    </row>
    <row r="355" spans="1:8" x14ac:dyDescent="0.25">
      <c r="A355" t="s">
        <v>357</v>
      </c>
      <c r="B355">
        <v>202359.14290000001</v>
      </c>
      <c r="C355">
        <v>221435.76860000001</v>
      </c>
      <c r="D355">
        <v>5288</v>
      </c>
      <c r="E355" s="5">
        <f t="shared" si="21"/>
        <v>38.267614012859305</v>
      </c>
      <c r="F355" s="5">
        <f t="shared" si="24"/>
        <v>-19076.625700000004</v>
      </c>
      <c r="G355" s="5">
        <f t="shared" si="22"/>
        <v>-190.76625700000005</v>
      </c>
      <c r="H355" s="5">
        <f t="shared" si="23"/>
        <v>-3.6075313350983365</v>
      </c>
    </row>
    <row r="356" spans="1:8" x14ac:dyDescent="0.25">
      <c r="A356" t="s">
        <v>358</v>
      </c>
      <c r="B356">
        <v>274343.65429999999</v>
      </c>
      <c r="C356">
        <v>299516.83779999998</v>
      </c>
      <c r="D356">
        <v>7141</v>
      </c>
      <c r="E356" s="5">
        <f t="shared" si="21"/>
        <v>38.418100308080099</v>
      </c>
      <c r="F356" s="5">
        <f t="shared" si="24"/>
        <v>-25173.183499999985</v>
      </c>
      <c r="G356" s="5">
        <f t="shared" si="22"/>
        <v>-251.73183499999985</v>
      </c>
      <c r="H356" s="5">
        <f t="shared" si="23"/>
        <v>-3.5251622321803646</v>
      </c>
    </row>
    <row r="357" spans="1:8" x14ac:dyDescent="0.25">
      <c r="A357" t="s">
        <v>359</v>
      </c>
      <c r="B357">
        <v>316167.0747</v>
      </c>
      <c r="C357">
        <v>346378.30479999998</v>
      </c>
      <c r="D357">
        <v>8268</v>
      </c>
      <c r="E357" s="5">
        <f t="shared" si="21"/>
        <v>38.239849383164007</v>
      </c>
      <c r="F357" s="5">
        <f t="shared" si="24"/>
        <v>-30211.230099999986</v>
      </c>
      <c r="G357" s="5">
        <f t="shared" si="22"/>
        <v>-302.11230099999989</v>
      </c>
      <c r="H357" s="5">
        <f t="shared" si="23"/>
        <v>-3.6539949322689873</v>
      </c>
    </row>
    <row r="358" spans="1:8" x14ac:dyDescent="0.25">
      <c r="A358" t="s">
        <v>360</v>
      </c>
      <c r="B358">
        <v>173833.4001</v>
      </c>
      <c r="C358">
        <v>190644.50159999999</v>
      </c>
      <c r="D358">
        <v>4541</v>
      </c>
      <c r="E358" s="5">
        <f t="shared" si="21"/>
        <v>38.280863268002641</v>
      </c>
      <c r="F358" s="5">
        <f t="shared" si="24"/>
        <v>-16811.10149999999</v>
      </c>
      <c r="G358" s="5">
        <f t="shared" si="22"/>
        <v>-168.1110149999999</v>
      </c>
      <c r="H358" s="5">
        <f t="shared" si="23"/>
        <v>-3.7020703589517705</v>
      </c>
    </row>
    <row r="359" spans="1:8" x14ac:dyDescent="0.25">
      <c r="A359" t="s">
        <v>361</v>
      </c>
      <c r="B359">
        <v>204565.08180000001</v>
      </c>
      <c r="C359">
        <v>210188.9094</v>
      </c>
      <c r="D359">
        <v>5014</v>
      </c>
      <c r="E359" s="5">
        <f t="shared" si="21"/>
        <v>40.798779776625452</v>
      </c>
      <c r="F359" s="5">
        <f t="shared" si="24"/>
        <v>-5623.8275999999896</v>
      </c>
      <c r="G359" s="5">
        <f t="shared" si="22"/>
        <v>-56.2382759999999</v>
      </c>
      <c r="H359" s="5">
        <f t="shared" si="23"/>
        <v>-1.1216249700837635</v>
      </c>
    </row>
    <row r="360" spans="1:8" x14ac:dyDescent="0.25">
      <c r="A360" t="s">
        <v>362</v>
      </c>
      <c r="B360">
        <v>316394.73090000002</v>
      </c>
      <c r="C360">
        <v>326627.1384</v>
      </c>
      <c r="D360">
        <v>7778</v>
      </c>
      <c r="E360" s="5">
        <f t="shared" si="21"/>
        <v>40.678160311133972</v>
      </c>
      <c r="F360" s="5">
        <f t="shared" si="24"/>
        <v>-10232.407499999972</v>
      </c>
      <c r="G360" s="5">
        <f t="shared" si="22"/>
        <v>-102.32407499999972</v>
      </c>
      <c r="H360" s="5">
        <f t="shared" si="23"/>
        <v>-1.3155576626382068</v>
      </c>
    </row>
    <row r="361" spans="1:8" x14ac:dyDescent="0.25">
      <c r="A361" t="s">
        <v>363</v>
      </c>
      <c r="B361">
        <v>486230.32020000002</v>
      </c>
      <c r="C361">
        <v>495909.08960000001</v>
      </c>
      <c r="D361">
        <v>11809</v>
      </c>
      <c r="E361" s="5">
        <f t="shared" si="21"/>
        <v>41.174555017359644</v>
      </c>
      <c r="F361" s="5">
        <f t="shared" si="24"/>
        <v>-9678.7693999999901</v>
      </c>
      <c r="G361" s="5">
        <f t="shared" si="22"/>
        <v>-96.787693999999902</v>
      </c>
      <c r="H361" s="5">
        <f t="shared" si="23"/>
        <v>-0.81960956897281656</v>
      </c>
    </row>
    <row r="362" spans="1:8" x14ac:dyDescent="0.25">
      <c r="A362" t="s">
        <v>364</v>
      </c>
      <c r="B362">
        <v>137686.53210000001</v>
      </c>
      <c r="C362">
        <v>140525.7867</v>
      </c>
      <c r="D362">
        <v>3344</v>
      </c>
      <c r="E362" s="5">
        <f t="shared" si="21"/>
        <v>41.174202183014359</v>
      </c>
      <c r="F362" s="5">
        <f t="shared" si="24"/>
        <v>-2839.2545999999857</v>
      </c>
      <c r="G362" s="5">
        <f t="shared" si="22"/>
        <v>-28.392545999999857</v>
      </c>
      <c r="H362" s="5">
        <f t="shared" si="23"/>
        <v>-0.8490593899521488</v>
      </c>
    </row>
    <row r="363" spans="1:8" x14ac:dyDescent="0.25">
      <c r="A363" t="s">
        <v>365</v>
      </c>
      <c r="B363">
        <v>48102.96241</v>
      </c>
      <c r="C363">
        <v>49028.36507</v>
      </c>
      <c r="D363">
        <v>1169</v>
      </c>
      <c r="E363" s="5">
        <f t="shared" si="21"/>
        <v>41.148813011120616</v>
      </c>
      <c r="F363" s="5">
        <f t="shared" si="24"/>
        <v>-925.40265999999974</v>
      </c>
      <c r="G363" s="5">
        <f t="shared" si="22"/>
        <v>-9.2540265999999978</v>
      </c>
      <c r="H363" s="5">
        <f t="shared" si="23"/>
        <v>-0.7916190419161675</v>
      </c>
    </row>
    <row r="364" spans="1:8" x14ac:dyDescent="0.25">
      <c r="A364" t="s">
        <v>366</v>
      </c>
      <c r="B364">
        <v>110162.132</v>
      </c>
      <c r="C364">
        <v>112383.5592</v>
      </c>
      <c r="D364">
        <v>2676</v>
      </c>
      <c r="E364" s="5">
        <f t="shared" si="21"/>
        <v>41.166715994020926</v>
      </c>
      <c r="F364" s="5">
        <f t="shared" si="24"/>
        <v>-2221.4272000000055</v>
      </c>
      <c r="G364" s="5">
        <f t="shared" si="22"/>
        <v>-22.214272000000054</v>
      </c>
      <c r="H364" s="5">
        <f t="shared" si="23"/>
        <v>-0.83012974588938926</v>
      </c>
    </row>
    <row r="365" spans="1:8" x14ac:dyDescent="0.25">
      <c r="A365" t="s">
        <v>367</v>
      </c>
      <c r="B365">
        <v>69051.337090000001</v>
      </c>
      <c r="C365">
        <v>70482.717799999999</v>
      </c>
      <c r="D365">
        <v>1677</v>
      </c>
      <c r="E365" s="5">
        <f t="shared" si="21"/>
        <v>41.175514066785929</v>
      </c>
      <c r="F365" s="5">
        <f t="shared" si="24"/>
        <v>-1431.3807099999976</v>
      </c>
      <c r="G365" s="5">
        <f t="shared" si="22"/>
        <v>-14.313807099999977</v>
      </c>
      <c r="H365" s="5">
        <f t="shared" si="23"/>
        <v>-0.85353649970184708</v>
      </c>
    </row>
    <row r="366" spans="1:8" x14ac:dyDescent="0.25">
      <c r="A366" t="s">
        <v>368</v>
      </c>
      <c r="B366">
        <v>133307.36900000001</v>
      </c>
      <c r="C366">
        <v>136003.48250000001</v>
      </c>
      <c r="D366">
        <v>3237</v>
      </c>
      <c r="E366" s="5">
        <f t="shared" si="21"/>
        <v>41.182381526104422</v>
      </c>
      <c r="F366" s="5">
        <f t="shared" si="24"/>
        <v>-2696.1135000000068</v>
      </c>
      <c r="G366" s="5">
        <f t="shared" si="22"/>
        <v>-26.961135000000066</v>
      </c>
      <c r="H366" s="5">
        <f t="shared" si="23"/>
        <v>-0.83290500463392236</v>
      </c>
    </row>
    <row r="367" spans="1:8" x14ac:dyDescent="0.25">
      <c r="A367" t="s">
        <v>369</v>
      </c>
      <c r="B367">
        <v>216389.5043</v>
      </c>
      <c r="C367">
        <v>235723.7648</v>
      </c>
      <c r="D367">
        <v>5607</v>
      </c>
      <c r="E367" s="5">
        <f t="shared" si="21"/>
        <v>38.592741983235243</v>
      </c>
      <c r="F367" s="5">
        <f t="shared" si="24"/>
        <v>-19334.260500000004</v>
      </c>
      <c r="G367" s="5">
        <f t="shared" si="22"/>
        <v>-193.34260500000005</v>
      </c>
      <c r="H367" s="5">
        <f t="shared" si="23"/>
        <v>-3.4482362225789198</v>
      </c>
    </row>
    <row r="368" spans="1:8" x14ac:dyDescent="0.25">
      <c r="A368" t="s">
        <v>370</v>
      </c>
      <c r="B368">
        <v>365055.31199999998</v>
      </c>
      <c r="C368">
        <v>398013.34830000001</v>
      </c>
      <c r="D368">
        <v>9464</v>
      </c>
      <c r="E368" s="5">
        <f t="shared" si="21"/>
        <v>38.573046491969563</v>
      </c>
      <c r="F368" s="5">
        <f t="shared" si="24"/>
        <v>-32958.036300000036</v>
      </c>
      <c r="G368" s="5">
        <f t="shared" si="22"/>
        <v>-329.58036300000037</v>
      </c>
      <c r="H368" s="5">
        <f t="shared" si="23"/>
        <v>-3.4824636834319564</v>
      </c>
    </row>
    <row r="369" spans="1:8" x14ac:dyDescent="0.25">
      <c r="A369" t="s">
        <v>371</v>
      </c>
      <c r="B369">
        <v>112161.41959999999</v>
      </c>
      <c r="C369">
        <v>122170.4317</v>
      </c>
      <c r="D369">
        <v>2905</v>
      </c>
      <c r="E369" s="5">
        <f t="shared" si="21"/>
        <v>38.609782994836486</v>
      </c>
      <c r="F369" s="5">
        <f t="shared" si="24"/>
        <v>-10009.012100000007</v>
      </c>
      <c r="G369" s="5">
        <f t="shared" si="22"/>
        <v>-100.09012100000007</v>
      </c>
      <c r="H369" s="5">
        <f t="shared" si="23"/>
        <v>-3.4454430636833071</v>
      </c>
    </row>
    <row r="370" spans="1:8" x14ac:dyDescent="0.25">
      <c r="A370" t="s">
        <v>372</v>
      </c>
      <c r="B370">
        <v>271101.46169999999</v>
      </c>
      <c r="C370">
        <v>295019.4694</v>
      </c>
      <c r="D370">
        <v>7023</v>
      </c>
      <c r="E370" s="5">
        <f t="shared" si="21"/>
        <v>38.601945279794954</v>
      </c>
      <c r="F370" s="5">
        <f t="shared" si="24"/>
        <v>-23918.007700000016</v>
      </c>
      <c r="G370" s="5">
        <f t="shared" si="22"/>
        <v>-239.18007700000015</v>
      </c>
      <c r="H370" s="5">
        <f t="shared" si="23"/>
        <v>-3.4056681902320971</v>
      </c>
    </row>
    <row r="371" spans="1:8" x14ac:dyDescent="0.25">
      <c r="A371" t="s">
        <v>373</v>
      </c>
      <c r="B371">
        <v>245813.28829999999</v>
      </c>
      <c r="C371">
        <v>267734.72529999999</v>
      </c>
      <c r="D371">
        <v>6371</v>
      </c>
      <c r="E371" s="5">
        <f t="shared" si="21"/>
        <v>38.583156223512788</v>
      </c>
      <c r="F371" s="5">
        <f t="shared" si="24"/>
        <v>-21921.437000000005</v>
      </c>
      <c r="G371" s="5">
        <f t="shared" si="22"/>
        <v>-219.21437000000006</v>
      </c>
      <c r="H371" s="5">
        <f t="shared" si="23"/>
        <v>-3.4408157275153046</v>
      </c>
    </row>
    <row r="372" spans="1:8" x14ac:dyDescent="0.25">
      <c r="A372" t="s">
        <v>374</v>
      </c>
      <c r="B372">
        <v>178394.81200000001</v>
      </c>
      <c r="C372">
        <v>194427.448</v>
      </c>
      <c r="D372">
        <v>4624</v>
      </c>
      <c r="E372" s="5">
        <f t="shared" si="21"/>
        <v>38.580192906574396</v>
      </c>
      <c r="F372" s="5">
        <f t="shared" si="24"/>
        <v>-16032.635999999999</v>
      </c>
      <c r="G372" s="5">
        <f t="shared" si="22"/>
        <v>-160.32635999999999</v>
      </c>
      <c r="H372" s="5">
        <f t="shared" si="23"/>
        <v>-3.4672655709342557</v>
      </c>
    </row>
    <row r="373" spans="1:8" x14ac:dyDescent="0.25">
      <c r="A373" t="s">
        <v>375</v>
      </c>
      <c r="B373">
        <v>220443.63149999999</v>
      </c>
      <c r="C373">
        <v>239988.0275</v>
      </c>
      <c r="D373">
        <v>5717</v>
      </c>
      <c r="E373" s="5">
        <f t="shared" si="21"/>
        <v>38.559319835578101</v>
      </c>
      <c r="F373" s="5">
        <f t="shared" si="24"/>
        <v>-19544.396000000008</v>
      </c>
      <c r="G373" s="5">
        <f t="shared" si="22"/>
        <v>-195.44396000000009</v>
      </c>
      <c r="H373" s="5">
        <f t="shared" si="23"/>
        <v>-3.4186454434143796</v>
      </c>
    </row>
    <row r="374" spans="1:8" x14ac:dyDescent="0.25">
      <c r="A374" t="s">
        <v>376</v>
      </c>
      <c r="B374">
        <v>181534.1887</v>
      </c>
      <c r="C374">
        <v>197328.94390000001</v>
      </c>
      <c r="D374">
        <v>4705</v>
      </c>
      <c r="E374" s="5">
        <f t="shared" si="21"/>
        <v>38.583249458023381</v>
      </c>
      <c r="F374" s="5">
        <f t="shared" si="24"/>
        <v>-15794.755200000014</v>
      </c>
      <c r="G374" s="5">
        <f t="shared" si="22"/>
        <v>-157.94755200000014</v>
      </c>
      <c r="H374" s="5">
        <f t="shared" si="23"/>
        <v>-3.357014920297559</v>
      </c>
    </row>
    <row r="375" spans="1:8" x14ac:dyDescent="0.25">
      <c r="A375" t="s">
        <v>377</v>
      </c>
      <c r="B375">
        <v>83176.481390000001</v>
      </c>
      <c r="C375">
        <v>84728.831200000001</v>
      </c>
      <c r="D375">
        <v>2020</v>
      </c>
      <c r="E375" s="5">
        <f t="shared" si="21"/>
        <v>41.176475935643566</v>
      </c>
      <c r="F375" s="5">
        <f t="shared" si="24"/>
        <v>-1552.3498099999997</v>
      </c>
      <c r="G375" s="5">
        <f t="shared" si="22"/>
        <v>-15.523498099999998</v>
      </c>
      <c r="H375" s="5">
        <f t="shared" si="23"/>
        <v>-0.76849000495049491</v>
      </c>
    </row>
    <row r="376" spans="1:8" x14ac:dyDescent="0.25">
      <c r="A376" t="s">
        <v>378</v>
      </c>
      <c r="B376">
        <v>76894.779349999997</v>
      </c>
      <c r="C376">
        <v>78468.095499999996</v>
      </c>
      <c r="D376">
        <v>1868</v>
      </c>
      <c r="E376" s="5">
        <f t="shared" si="21"/>
        <v>41.164228774089935</v>
      </c>
      <c r="F376" s="5">
        <f t="shared" si="24"/>
        <v>-1573.3161499999987</v>
      </c>
      <c r="G376" s="5">
        <f t="shared" si="22"/>
        <v>-15.733161499999987</v>
      </c>
      <c r="H376" s="5">
        <f t="shared" si="23"/>
        <v>-0.84224633297644469</v>
      </c>
    </row>
    <row r="377" spans="1:8" x14ac:dyDescent="0.25">
      <c r="A377" t="s">
        <v>379</v>
      </c>
      <c r="B377">
        <v>123859.38800000001</v>
      </c>
      <c r="C377">
        <v>126444.1425</v>
      </c>
      <c r="D377">
        <v>3008</v>
      </c>
      <c r="E377" s="5">
        <f t="shared" si="21"/>
        <v>41.176658244680851</v>
      </c>
      <c r="F377" s="5">
        <f t="shared" si="24"/>
        <v>-2584.7544999999955</v>
      </c>
      <c r="G377" s="5">
        <f t="shared" si="22"/>
        <v>-25.847544999999954</v>
      </c>
      <c r="H377" s="5">
        <f t="shared" si="23"/>
        <v>-0.8592933843085091</v>
      </c>
    </row>
    <row r="378" spans="1:8" x14ac:dyDescent="0.25">
      <c r="A378" t="s">
        <v>380</v>
      </c>
      <c r="B378">
        <v>120807.5742</v>
      </c>
      <c r="C378">
        <v>123392.80409999999</v>
      </c>
      <c r="D378">
        <v>2934</v>
      </c>
      <c r="E378" s="5">
        <f t="shared" si="21"/>
        <v>41.175042331288346</v>
      </c>
      <c r="F378" s="5">
        <f t="shared" si="24"/>
        <v>-2585.2298999999912</v>
      </c>
      <c r="G378" s="5">
        <f t="shared" si="22"/>
        <v>-25.852298999999913</v>
      </c>
      <c r="H378" s="5">
        <f t="shared" si="23"/>
        <v>-0.88112811860940399</v>
      </c>
    </row>
    <row r="379" spans="1:8" x14ac:dyDescent="0.25">
      <c r="A379" t="s">
        <v>381</v>
      </c>
      <c r="B379">
        <v>69597.36735</v>
      </c>
      <c r="C379">
        <v>71051.363500000007</v>
      </c>
      <c r="D379">
        <v>1690</v>
      </c>
      <c r="E379" s="5">
        <f t="shared" si="21"/>
        <v>41.181874171597634</v>
      </c>
      <c r="F379" s="5">
        <f t="shared" si="24"/>
        <v>-1453.9961500000063</v>
      </c>
      <c r="G379" s="5">
        <f t="shared" si="22"/>
        <v>-14.539961500000063</v>
      </c>
      <c r="H379" s="5">
        <f t="shared" si="23"/>
        <v>-0.86035275147929369</v>
      </c>
    </row>
    <row r="380" spans="1:8" x14ac:dyDescent="0.25">
      <c r="A380" t="s">
        <v>382</v>
      </c>
      <c r="B380">
        <v>84738.294410000002</v>
      </c>
      <c r="C380">
        <v>86467.537750000003</v>
      </c>
      <c r="D380">
        <v>2058</v>
      </c>
      <c r="E380" s="5">
        <f t="shared" si="21"/>
        <v>41.175070170068025</v>
      </c>
      <c r="F380" s="5">
        <f t="shared" si="24"/>
        <v>-1729.2433400000009</v>
      </c>
      <c r="G380" s="5">
        <f t="shared" si="22"/>
        <v>-17.292433400000007</v>
      </c>
      <c r="H380" s="5">
        <f t="shared" si="23"/>
        <v>-0.84025429543245911</v>
      </c>
    </row>
    <row r="381" spans="1:8" x14ac:dyDescent="0.25">
      <c r="A381" t="s">
        <v>383</v>
      </c>
      <c r="B381">
        <v>64653.972139999998</v>
      </c>
      <c r="C381">
        <v>65980.422089999993</v>
      </c>
      <c r="D381">
        <v>1570</v>
      </c>
      <c r="E381" s="5">
        <f t="shared" si="21"/>
        <v>41.180873974522292</v>
      </c>
      <c r="F381" s="5">
        <f t="shared" si="24"/>
        <v>-1326.4499499999947</v>
      </c>
      <c r="G381" s="5">
        <f t="shared" si="22"/>
        <v>-13.264499499999948</v>
      </c>
      <c r="H381" s="5">
        <f t="shared" si="23"/>
        <v>-0.84487257961783102</v>
      </c>
    </row>
    <row r="382" spans="1:8" x14ac:dyDescent="0.25">
      <c r="A382" t="s">
        <v>384</v>
      </c>
      <c r="B382">
        <v>59553.386030000001</v>
      </c>
      <c r="C382">
        <v>60703.356030000003</v>
      </c>
      <c r="D382">
        <v>1446</v>
      </c>
      <c r="E382" s="5">
        <f t="shared" si="21"/>
        <v>41.184914266943295</v>
      </c>
      <c r="F382" s="5">
        <f t="shared" si="24"/>
        <v>-1149.9700000000012</v>
      </c>
      <c r="G382" s="5">
        <f t="shared" si="22"/>
        <v>-11.499700000000011</v>
      </c>
      <c r="H382" s="5">
        <f t="shared" si="23"/>
        <v>-0.79527662517289155</v>
      </c>
    </row>
    <row r="383" spans="1:8" x14ac:dyDescent="0.25">
      <c r="A383" t="s">
        <v>385</v>
      </c>
      <c r="B383">
        <v>79080.756959999999</v>
      </c>
      <c r="C383">
        <v>80337.748309999995</v>
      </c>
      <c r="D383">
        <v>1921</v>
      </c>
      <c r="E383" s="5">
        <f t="shared" si="21"/>
        <v>41.166453388859971</v>
      </c>
      <c r="F383" s="5">
        <f t="shared" si="24"/>
        <v>-1256.9913499999966</v>
      </c>
      <c r="G383" s="5">
        <f t="shared" si="22"/>
        <v>-12.569913499999966</v>
      </c>
      <c r="H383" s="5">
        <f t="shared" si="23"/>
        <v>-0.65434219156689044</v>
      </c>
    </row>
    <row r="384" spans="1:8" x14ac:dyDescent="0.25">
      <c r="A384" t="s">
        <v>386</v>
      </c>
      <c r="B384">
        <v>149444.05679999999</v>
      </c>
      <c r="C384">
        <v>152030.9865</v>
      </c>
      <c r="D384">
        <v>3629</v>
      </c>
      <c r="E384" s="5">
        <f t="shared" si="21"/>
        <v>41.180506144943507</v>
      </c>
      <c r="F384" s="5">
        <f t="shared" si="24"/>
        <v>-2586.9297000000079</v>
      </c>
      <c r="G384" s="5">
        <f t="shared" si="22"/>
        <v>-25.869297000000078</v>
      </c>
      <c r="H384" s="5">
        <f t="shared" si="23"/>
        <v>-0.71284918710388756</v>
      </c>
    </row>
    <row r="385" spans="1:8" x14ac:dyDescent="0.25">
      <c r="A385" t="s">
        <v>387</v>
      </c>
      <c r="B385">
        <v>170624.07990000001</v>
      </c>
      <c r="C385">
        <v>173547.02710000001</v>
      </c>
      <c r="D385">
        <v>4144</v>
      </c>
      <c r="E385" s="5">
        <f t="shared" si="21"/>
        <v>41.173764454633208</v>
      </c>
      <c r="F385" s="5">
        <f t="shared" si="24"/>
        <v>-2922.9471999999951</v>
      </c>
      <c r="G385" s="5">
        <f t="shared" si="22"/>
        <v>-29.229471999999951</v>
      </c>
      <c r="H385" s="5">
        <f t="shared" si="23"/>
        <v>-0.70534440154440037</v>
      </c>
    </row>
    <row r="386" spans="1:8" x14ac:dyDescent="0.25">
      <c r="A386" t="s">
        <v>388</v>
      </c>
      <c r="B386">
        <v>74744.283150000003</v>
      </c>
      <c r="C386">
        <v>76003.928249999997</v>
      </c>
      <c r="D386">
        <v>1815</v>
      </c>
      <c r="E386" s="5">
        <f t="shared" si="21"/>
        <v>41.181423223140499</v>
      </c>
      <c r="F386" s="5">
        <f t="shared" si="24"/>
        <v>-1259.6450999999943</v>
      </c>
      <c r="G386" s="5">
        <f t="shared" si="22"/>
        <v>-12.596450999999943</v>
      </c>
      <c r="H386" s="5">
        <f t="shared" si="23"/>
        <v>-0.69401933884297207</v>
      </c>
    </row>
    <row r="387" spans="1:8" x14ac:dyDescent="0.25">
      <c r="A387" t="s">
        <v>389</v>
      </c>
      <c r="B387">
        <v>90144.161399999997</v>
      </c>
      <c r="C387">
        <v>91110.969349999999</v>
      </c>
      <c r="D387">
        <v>2189</v>
      </c>
      <c r="E387" s="5">
        <f t="shared" ref="E387:E450" si="25">B387/D387</f>
        <v>41.180521425308356</v>
      </c>
      <c r="F387" s="5">
        <f t="shared" si="24"/>
        <v>-966.80795000000217</v>
      </c>
      <c r="G387" s="5">
        <f t="shared" ref="G387:G450" si="26">F387/100</f>
        <v>-9.6680795000000224</v>
      </c>
      <c r="H387" s="5">
        <f t="shared" ref="H387:H450" si="27">F387/D387</f>
        <v>-0.44166649154865334</v>
      </c>
    </row>
    <row r="388" spans="1:8" x14ac:dyDescent="0.25">
      <c r="A388" t="s">
        <v>390</v>
      </c>
      <c r="B388">
        <v>97826.808799999999</v>
      </c>
      <c r="C388">
        <v>99134.306989999997</v>
      </c>
      <c r="D388">
        <v>2376</v>
      </c>
      <c r="E388" s="5">
        <f t="shared" si="25"/>
        <v>41.172899326599328</v>
      </c>
      <c r="F388" s="5">
        <f t="shared" si="24"/>
        <v>-1307.4981899999984</v>
      </c>
      <c r="G388" s="5">
        <f t="shared" si="26"/>
        <v>-13.074981899999985</v>
      </c>
      <c r="H388" s="5">
        <f t="shared" si="27"/>
        <v>-0.55029385101010031</v>
      </c>
    </row>
    <row r="389" spans="1:8" x14ac:dyDescent="0.25">
      <c r="A389" t="s">
        <v>391</v>
      </c>
      <c r="B389">
        <v>62795.979149999999</v>
      </c>
      <c r="C389">
        <v>64144.088880000003</v>
      </c>
      <c r="D389">
        <v>1525</v>
      </c>
      <c r="E389" s="5">
        <f t="shared" si="25"/>
        <v>41.177691245901642</v>
      </c>
      <c r="F389" s="5">
        <f t="shared" si="24"/>
        <v>-1348.1097300000038</v>
      </c>
      <c r="G389" s="5">
        <f t="shared" si="26"/>
        <v>-13.481097300000037</v>
      </c>
      <c r="H389" s="5">
        <f t="shared" si="27"/>
        <v>-0.88400638032787127</v>
      </c>
    </row>
    <row r="390" spans="1:8" x14ac:dyDescent="0.25">
      <c r="A390" t="s">
        <v>392</v>
      </c>
      <c r="B390">
        <v>66550.989830000006</v>
      </c>
      <c r="C390">
        <v>67952.150550000006</v>
      </c>
      <c r="D390">
        <v>1616</v>
      </c>
      <c r="E390" s="5">
        <f t="shared" si="25"/>
        <v>41.182543211633664</v>
      </c>
      <c r="F390" s="5">
        <f t="shared" si="24"/>
        <v>-1401.1607199999999</v>
      </c>
      <c r="G390" s="5">
        <f t="shared" si="26"/>
        <v>-14.011607199999998</v>
      </c>
      <c r="H390" s="5">
        <f t="shared" si="27"/>
        <v>-0.86705490099009896</v>
      </c>
    </row>
    <row r="391" spans="1:8" x14ac:dyDescent="0.25">
      <c r="A391" t="s">
        <v>393</v>
      </c>
      <c r="B391">
        <v>154670.89069999999</v>
      </c>
      <c r="C391">
        <v>158031.791</v>
      </c>
      <c r="D391">
        <v>3757</v>
      </c>
      <c r="E391" s="5">
        <f t="shared" si="25"/>
        <v>41.168722571200426</v>
      </c>
      <c r="F391" s="5">
        <f t="shared" si="24"/>
        <v>-3360.9003000000084</v>
      </c>
      <c r="G391" s="5">
        <f t="shared" si="26"/>
        <v>-33.609003000000087</v>
      </c>
      <c r="H391" s="5">
        <f t="shared" si="27"/>
        <v>-0.89457021559755345</v>
      </c>
    </row>
    <row r="392" spans="1:8" x14ac:dyDescent="0.25">
      <c r="A392" t="s">
        <v>394</v>
      </c>
      <c r="B392">
        <v>158722.10560000001</v>
      </c>
      <c r="C392">
        <v>162082.4184</v>
      </c>
      <c r="D392">
        <v>3855</v>
      </c>
      <c r="E392" s="5">
        <f t="shared" si="25"/>
        <v>41.173049442282753</v>
      </c>
      <c r="F392" s="5">
        <f t="shared" si="24"/>
        <v>-3360.3127999999851</v>
      </c>
      <c r="G392" s="5">
        <f t="shared" si="26"/>
        <v>-33.603127999999849</v>
      </c>
      <c r="H392" s="5">
        <f t="shared" si="27"/>
        <v>-0.87167647211413368</v>
      </c>
    </row>
    <row r="393" spans="1:8" x14ac:dyDescent="0.25">
      <c r="A393" t="s">
        <v>395</v>
      </c>
      <c r="B393">
        <v>78092.276920000004</v>
      </c>
      <c r="C393">
        <v>79795.043099999995</v>
      </c>
      <c r="D393">
        <v>1897</v>
      </c>
      <c r="E393" s="5">
        <f t="shared" si="25"/>
        <v>41.166197638376389</v>
      </c>
      <c r="F393" s="5">
        <f t="shared" si="24"/>
        <v>-1702.7661799999914</v>
      </c>
      <c r="G393" s="5">
        <f t="shared" si="26"/>
        <v>-17.027661799999915</v>
      </c>
      <c r="H393" s="5">
        <f t="shared" si="27"/>
        <v>-0.89761000527147672</v>
      </c>
    </row>
    <row r="394" spans="1:8" x14ac:dyDescent="0.25">
      <c r="A394" t="s">
        <v>396</v>
      </c>
      <c r="B394">
        <v>91830.402040000001</v>
      </c>
      <c r="C394">
        <v>93808.086750000002</v>
      </c>
      <c r="D394">
        <v>2230</v>
      </c>
      <c r="E394" s="5">
        <f t="shared" si="25"/>
        <v>41.179552484304935</v>
      </c>
      <c r="F394" s="5">
        <f t="shared" si="24"/>
        <v>-1977.6847100000014</v>
      </c>
      <c r="G394" s="5">
        <f t="shared" si="26"/>
        <v>-19.776847100000012</v>
      </c>
      <c r="H394" s="5">
        <f t="shared" si="27"/>
        <v>-0.8868541300448437</v>
      </c>
    </row>
    <row r="395" spans="1:8" x14ac:dyDescent="0.25">
      <c r="A395" t="s">
        <v>397</v>
      </c>
      <c r="B395">
        <v>76992.935679999995</v>
      </c>
      <c r="C395">
        <v>78614.457750000001</v>
      </c>
      <c r="D395">
        <v>1870</v>
      </c>
      <c r="E395" s="5">
        <f t="shared" si="25"/>
        <v>41.172692877005346</v>
      </c>
      <c r="F395" s="5">
        <f t="shared" si="24"/>
        <v>-1621.5220700000064</v>
      </c>
      <c r="G395" s="5">
        <f t="shared" si="26"/>
        <v>-16.215220700000064</v>
      </c>
      <c r="H395" s="5">
        <f t="shared" si="27"/>
        <v>-0.86712410160428144</v>
      </c>
    </row>
    <row r="396" spans="1:8" x14ac:dyDescent="0.25">
      <c r="A396" t="s">
        <v>398</v>
      </c>
      <c r="B396">
        <v>59897.715880000003</v>
      </c>
      <c r="C396">
        <v>61194.180260000001</v>
      </c>
      <c r="D396">
        <v>1455</v>
      </c>
      <c r="E396" s="5">
        <f t="shared" si="25"/>
        <v>41.166815037800689</v>
      </c>
      <c r="F396" s="5">
        <f t="shared" si="24"/>
        <v>-1296.4643799999976</v>
      </c>
      <c r="G396" s="5">
        <f t="shared" si="26"/>
        <v>-12.964643799999976</v>
      </c>
      <c r="H396" s="5">
        <f t="shared" si="27"/>
        <v>-0.89104081099656196</v>
      </c>
    </row>
    <row r="397" spans="1:8" x14ac:dyDescent="0.25">
      <c r="A397" t="s">
        <v>399</v>
      </c>
      <c r="B397">
        <v>57310.194040000002</v>
      </c>
      <c r="C397">
        <v>58531.410989999997</v>
      </c>
      <c r="D397">
        <v>1392</v>
      </c>
      <c r="E397" s="5">
        <f t="shared" si="25"/>
        <v>41.171116408045975</v>
      </c>
      <c r="F397" s="5">
        <f t="shared" si="24"/>
        <v>-1221.2169499999945</v>
      </c>
      <c r="G397" s="5">
        <f t="shared" si="26"/>
        <v>-12.212169499999945</v>
      </c>
      <c r="H397" s="5">
        <f t="shared" si="27"/>
        <v>-0.87731102729884669</v>
      </c>
    </row>
    <row r="398" spans="1:8" x14ac:dyDescent="0.25">
      <c r="A398" t="s">
        <v>400</v>
      </c>
      <c r="B398">
        <v>134540.2145</v>
      </c>
      <c r="C398">
        <v>137221.53750000001</v>
      </c>
      <c r="D398">
        <v>3268</v>
      </c>
      <c r="E398" s="5">
        <f t="shared" si="25"/>
        <v>41.168976285189721</v>
      </c>
      <c r="F398" s="5">
        <f t="shared" si="24"/>
        <v>-2681.323000000004</v>
      </c>
      <c r="G398" s="5">
        <f t="shared" si="26"/>
        <v>-26.81323000000004</v>
      </c>
      <c r="H398" s="5">
        <f t="shared" si="27"/>
        <v>-0.82047827417380781</v>
      </c>
    </row>
    <row r="399" spans="1:8" x14ac:dyDescent="0.25">
      <c r="A399" t="s">
        <v>401</v>
      </c>
      <c r="B399">
        <v>200193.61199999999</v>
      </c>
      <c r="C399">
        <v>203814.73639999999</v>
      </c>
      <c r="D399">
        <v>4862</v>
      </c>
      <c r="E399" s="5">
        <f t="shared" si="25"/>
        <v>41.175156725627311</v>
      </c>
      <c r="F399" s="5">
        <f t="shared" si="24"/>
        <v>-3621.1244000000006</v>
      </c>
      <c r="G399" s="5">
        <f t="shared" si="26"/>
        <v>-36.211244000000008</v>
      </c>
      <c r="H399" s="5">
        <f t="shared" si="27"/>
        <v>-0.74478083093377223</v>
      </c>
    </row>
    <row r="400" spans="1:8" x14ac:dyDescent="0.25">
      <c r="A400" t="s">
        <v>402</v>
      </c>
      <c r="B400">
        <v>171469.93049999999</v>
      </c>
      <c r="C400">
        <v>174652.45800000001</v>
      </c>
      <c r="D400">
        <v>4165</v>
      </c>
      <c r="E400" s="5">
        <f t="shared" si="25"/>
        <v>41.169251020408161</v>
      </c>
      <c r="F400" s="5">
        <f t="shared" si="24"/>
        <v>-3182.5275000000256</v>
      </c>
      <c r="G400" s="5">
        <f t="shared" si="26"/>
        <v>-31.825275000000257</v>
      </c>
      <c r="H400" s="5">
        <f t="shared" si="27"/>
        <v>-0.76411224489796536</v>
      </c>
    </row>
    <row r="401" spans="1:8" x14ac:dyDescent="0.25">
      <c r="A401" t="s">
        <v>403</v>
      </c>
      <c r="B401">
        <v>151737.2188</v>
      </c>
      <c r="C401">
        <v>154148.59880000001</v>
      </c>
      <c r="D401">
        <v>3685</v>
      </c>
      <c r="E401" s="5">
        <f t="shared" si="25"/>
        <v>41.176992890094979</v>
      </c>
      <c r="F401" s="5">
        <f t="shared" si="24"/>
        <v>-2411.3800000000047</v>
      </c>
      <c r="G401" s="5">
        <f t="shared" si="26"/>
        <v>-24.113800000000047</v>
      </c>
      <c r="H401" s="5">
        <f t="shared" si="27"/>
        <v>-0.65437720488466888</v>
      </c>
    </row>
    <row r="402" spans="1:8" x14ac:dyDescent="0.25">
      <c r="A402" t="s">
        <v>404</v>
      </c>
      <c r="B402">
        <v>102072.4434</v>
      </c>
      <c r="C402">
        <v>103634.9642</v>
      </c>
      <c r="D402">
        <v>2479</v>
      </c>
      <c r="E402" s="5">
        <f t="shared" si="25"/>
        <v>41.174846066962488</v>
      </c>
      <c r="F402" s="5">
        <f t="shared" si="24"/>
        <v>-1562.5207999999984</v>
      </c>
      <c r="G402" s="5">
        <f t="shared" si="26"/>
        <v>-15.625207999999985</v>
      </c>
      <c r="H402" s="5">
        <f t="shared" si="27"/>
        <v>-0.63030286405808733</v>
      </c>
    </row>
    <row r="403" spans="1:8" x14ac:dyDescent="0.25">
      <c r="A403" t="s">
        <v>405</v>
      </c>
      <c r="B403">
        <v>82514.105119999993</v>
      </c>
      <c r="C403">
        <v>83232.391369999998</v>
      </c>
      <c r="D403">
        <v>2005</v>
      </c>
      <c r="E403" s="5">
        <f t="shared" si="25"/>
        <v>41.154167142144637</v>
      </c>
      <c r="F403" s="5">
        <f t="shared" si="24"/>
        <v>-718.28625000000466</v>
      </c>
      <c r="G403" s="5">
        <f t="shared" si="26"/>
        <v>-7.1828625000000468</v>
      </c>
      <c r="H403" s="5">
        <f t="shared" si="27"/>
        <v>-0.35824750623441631</v>
      </c>
    </row>
    <row r="404" spans="1:8" x14ac:dyDescent="0.25">
      <c r="A404" t="s">
        <v>406</v>
      </c>
      <c r="B404">
        <v>46211.332459999998</v>
      </c>
      <c r="C404">
        <v>46407.299120000003</v>
      </c>
      <c r="D404">
        <v>1122</v>
      </c>
      <c r="E404" s="5">
        <f t="shared" si="25"/>
        <v>41.186570819964345</v>
      </c>
      <c r="F404" s="5">
        <f t="shared" si="24"/>
        <v>-195.9666600000055</v>
      </c>
      <c r="G404" s="5">
        <f t="shared" si="26"/>
        <v>-1.9596666000000551</v>
      </c>
      <c r="H404" s="5">
        <f t="shared" si="27"/>
        <v>-0.17465834224599422</v>
      </c>
    </row>
    <row r="405" spans="1:8" x14ac:dyDescent="0.25">
      <c r="A405" t="s">
        <v>407</v>
      </c>
      <c r="B405">
        <v>85730.414810000002</v>
      </c>
      <c r="C405">
        <v>85765.709340000001</v>
      </c>
      <c r="D405">
        <v>2082</v>
      </c>
      <c r="E405" s="5">
        <f t="shared" si="25"/>
        <v>41.176952358309322</v>
      </c>
      <c r="F405" s="5">
        <f t="shared" ref="F405:F445" si="28" xml:space="preserve"> B405-C405</f>
        <v>-35.294529999999213</v>
      </c>
      <c r="G405" s="5">
        <f t="shared" si="26"/>
        <v>-0.35294529999999213</v>
      </c>
      <c r="H405" s="5">
        <f t="shared" si="27"/>
        <v>-1.6952223823246501E-2</v>
      </c>
    </row>
    <row r="406" spans="1:8" x14ac:dyDescent="0.25">
      <c r="A406" t="s">
        <v>408</v>
      </c>
      <c r="B406">
        <v>105918.2933</v>
      </c>
      <c r="C406">
        <v>105662.55620000001</v>
      </c>
      <c r="D406">
        <v>2573</v>
      </c>
      <c r="E406" s="5">
        <f t="shared" si="25"/>
        <v>41.165290827827441</v>
      </c>
      <c r="F406" s="5">
        <f t="shared" si="28"/>
        <v>255.73709999999846</v>
      </c>
      <c r="G406" s="5">
        <f t="shared" si="26"/>
        <v>2.5573709999999847</v>
      </c>
      <c r="H406" s="5">
        <f t="shared" si="27"/>
        <v>9.9392576758646892E-2</v>
      </c>
    </row>
    <row r="407" spans="1:8" x14ac:dyDescent="0.25">
      <c r="A407" t="s">
        <v>409</v>
      </c>
      <c r="B407">
        <v>73041.660870000007</v>
      </c>
      <c r="C407">
        <v>73046.233900000007</v>
      </c>
      <c r="D407">
        <v>1774</v>
      </c>
      <c r="E407" s="5">
        <f t="shared" si="25"/>
        <v>41.173427773393463</v>
      </c>
      <c r="F407" s="5">
        <f t="shared" si="28"/>
        <v>-4.5730299999995623</v>
      </c>
      <c r="G407" s="5">
        <f t="shared" si="26"/>
        <v>-4.5730299999995623E-2</v>
      </c>
      <c r="H407" s="5">
        <f t="shared" si="27"/>
        <v>-2.577807215332335E-3</v>
      </c>
    </row>
    <row r="408" spans="1:8" x14ac:dyDescent="0.25">
      <c r="A408" t="s">
        <v>410</v>
      </c>
      <c r="B408">
        <v>97908.547099999996</v>
      </c>
      <c r="C408">
        <v>97097.936589999998</v>
      </c>
      <c r="D408">
        <v>2378</v>
      </c>
      <c r="E408" s="5">
        <f t="shared" si="25"/>
        <v>41.172643860386877</v>
      </c>
      <c r="F408" s="5">
        <f t="shared" si="28"/>
        <v>810.61050999999861</v>
      </c>
      <c r="G408" s="5">
        <f t="shared" si="26"/>
        <v>8.1061050999999864</v>
      </c>
      <c r="H408" s="5">
        <f t="shared" si="27"/>
        <v>0.34087910428931817</v>
      </c>
    </row>
    <row r="409" spans="1:8" x14ac:dyDescent="0.25">
      <c r="A409" t="s">
        <v>411</v>
      </c>
      <c r="B409">
        <v>138667.41589999999</v>
      </c>
      <c r="C409">
        <v>148522.84899999999</v>
      </c>
      <c r="D409">
        <v>3677</v>
      </c>
      <c r="E409" s="5">
        <f t="shared" si="25"/>
        <v>37.712106581452268</v>
      </c>
      <c r="F409" s="5">
        <f t="shared" si="28"/>
        <v>-9855.4330999999947</v>
      </c>
      <c r="G409" s="5">
        <f t="shared" si="26"/>
        <v>-98.554330999999948</v>
      </c>
      <c r="H409" s="5">
        <f t="shared" si="27"/>
        <v>-2.6802918411748693</v>
      </c>
    </row>
    <row r="410" spans="1:8" x14ac:dyDescent="0.25">
      <c r="A410" t="s">
        <v>412</v>
      </c>
      <c r="B410">
        <v>162162.1035</v>
      </c>
      <c r="C410">
        <v>173661.8278</v>
      </c>
      <c r="D410">
        <v>4299</v>
      </c>
      <c r="E410" s="5">
        <f t="shared" si="25"/>
        <v>37.720889392882064</v>
      </c>
      <c r="F410" s="5">
        <f t="shared" si="28"/>
        <v>-11499.724300000002</v>
      </c>
      <c r="G410" s="5">
        <f t="shared" si="26"/>
        <v>-114.99724300000001</v>
      </c>
      <c r="H410" s="5">
        <f t="shared" si="27"/>
        <v>-2.6749765759478952</v>
      </c>
    </row>
    <row r="411" spans="1:8" x14ac:dyDescent="0.25">
      <c r="A411" t="s">
        <v>413</v>
      </c>
      <c r="B411">
        <v>138520.1268</v>
      </c>
      <c r="C411">
        <v>147756.34280000001</v>
      </c>
      <c r="D411">
        <v>3674</v>
      </c>
      <c r="E411" s="5">
        <f t="shared" si="25"/>
        <v>37.702810778443116</v>
      </c>
      <c r="F411" s="5">
        <f t="shared" si="28"/>
        <v>-9236.2160000000149</v>
      </c>
      <c r="G411" s="5">
        <f t="shared" si="26"/>
        <v>-92.362160000000145</v>
      </c>
      <c r="H411" s="5">
        <f t="shared" si="27"/>
        <v>-2.5139401197604831</v>
      </c>
    </row>
    <row r="412" spans="1:8" x14ac:dyDescent="0.25">
      <c r="A412" t="s">
        <v>414</v>
      </c>
      <c r="B412">
        <v>358597.42849999998</v>
      </c>
      <c r="C412">
        <v>382447.08039999998</v>
      </c>
      <c r="D412">
        <v>9505</v>
      </c>
      <c r="E412" s="5">
        <f t="shared" si="25"/>
        <v>37.727241294055759</v>
      </c>
      <c r="F412" s="5">
        <f t="shared" si="28"/>
        <v>-23849.651899999997</v>
      </c>
      <c r="G412" s="5">
        <f t="shared" si="26"/>
        <v>-238.49651899999998</v>
      </c>
      <c r="H412" s="5">
        <f t="shared" si="27"/>
        <v>-2.5091690583903206</v>
      </c>
    </row>
    <row r="413" spans="1:8" x14ac:dyDescent="0.25">
      <c r="A413" t="s">
        <v>415</v>
      </c>
      <c r="B413">
        <v>424009.88250000001</v>
      </c>
      <c r="C413">
        <v>451548.02759999997</v>
      </c>
      <c r="D413">
        <v>11237</v>
      </c>
      <c r="E413" s="5">
        <f t="shared" si="25"/>
        <v>37.733370339058467</v>
      </c>
      <c r="F413" s="5">
        <f t="shared" si="28"/>
        <v>-27538.145099999965</v>
      </c>
      <c r="G413" s="5">
        <f t="shared" si="26"/>
        <v>-275.38145099999963</v>
      </c>
      <c r="H413" s="5">
        <f t="shared" si="27"/>
        <v>-2.450667001868823</v>
      </c>
    </row>
    <row r="414" spans="1:8" x14ac:dyDescent="0.25">
      <c r="A414" t="s">
        <v>416</v>
      </c>
      <c r="B414">
        <v>203861.4724</v>
      </c>
      <c r="C414">
        <v>217065.6152</v>
      </c>
      <c r="D414">
        <v>5406</v>
      </c>
      <c r="E414" s="5">
        <f t="shared" si="25"/>
        <v>37.710224269330375</v>
      </c>
      <c r="F414" s="5">
        <f t="shared" si="28"/>
        <v>-13204.142800000001</v>
      </c>
      <c r="G414" s="5">
        <f t="shared" si="26"/>
        <v>-132.04142800000002</v>
      </c>
      <c r="H414" s="5">
        <f t="shared" si="27"/>
        <v>-2.4424977432482429</v>
      </c>
    </row>
    <row r="415" spans="1:8" x14ac:dyDescent="0.25">
      <c r="A415" t="s">
        <v>417</v>
      </c>
      <c r="B415">
        <v>220506.20929999999</v>
      </c>
      <c r="C415">
        <v>234723.22</v>
      </c>
      <c r="D415">
        <v>5846</v>
      </c>
      <c r="E415" s="5">
        <f t="shared" si="25"/>
        <v>37.719159989736568</v>
      </c>
      <c r="F415" s="5">
        <f t="shared" si="28"/>
        <v>-14217.010700000013</v>
      </c>
      <c r="G415" s="5">
        <f t="shared" si="26"/>
        <v>-142.17010700000014</v>
      </c>
      <c r="H415" s="5">
        <f t="shared" si="27"/>
        <v>-2.4319210913445115</v>
      </c>
    </row>
    <row r="416" spans="1:8" x14ac:dyDescent="0.25">
      <c r="A416" t="s">
        <v>418</v>
      </c>
      <c r="B416">
        <v>139935.93700000001</v>
      </c>
      <c r="C416">
        <v>148697.54370000001</v>
      </c>
      <c r="D416">
        <v>3713</v>
      </c>
      <c r="E416" s="5">
        <f t="shared" si="25"/>
        <v>37.688105844330728</v>
      </c>
      <c r="F416" s="5">
        <f t="shared" si="28"/>
        <v>-8761.6067000000039</v>
      </c>
      <c r="G416" s="5">
        <f t="shared" si="26"/>
        <v>-87.616067000000044</v>
      </c>
      <c r="H416" s="5">
        <f t="shared" si="27"/>
        <v>-2.3597109345542697</v>
      </c>
    </row>
    <row r="417" spans="1:8" x14ac:dyDescent="0.25">
      <c r="A417" t="s">
        <v>419</v>
      </c>
      <c r="B417">
        <v>161064.75229999999</v>
      </c>
      <c r="C417">
        <v>170739.36660000001</v>
      </c>
      <c r="D417">
        <v>4270</v>
      </c>
      <c r="E417" s="5">
        <f t="shared" si="25"/>
        <v>37.720082505854798</v>
      </c>
      <c r="F417" s="5">
        <f t="shared" si="28"/>
        <v>-9674.6143000000156</v>
      </c>
      <c r="G417" s="5">
        <f t="shared" si="26"/>
        <v>-96.74614300000016</v>
      </c>
      <c r="H417" s="5">
        <f t="shared" si="27"/>
        <v>-2.2657176346604251</v>
      </c>
    </row>
    <row r="418" spans="1:8" x14ac:dyDescent="0.25">
      <c r="A418" t="s">
        <v>420</v>
      </c>
      <c r="B418">
        <v>144328.54519999999</v>
      </c>
      <c r="C418">
        <v>152824.11489999999</v>
      </c>
      <c r="D418">
        <v>3827</v>
      </c>
      <c r="E418" s="5">
        <f t="shared" si="25"/>
        <v>37.71323365560491</v>
      </c>
      <c r="F418" s="5">
        <f t="shared" si="28"/>
        <v>-8495.5696999999927</v>
      </c>
      <c r="G418" s="5">
        <f t="shared" si="26"/>
        <v>-84.95569699999993</v>
      </c>
      <c r="H418" s="5">
        <f t="shared" si="27"/>
        <v>-2.2199032401358747</v>
      </c>
    </row>
    <row r="419" spans="1:8" x14ac:dyDescent="0.25">
      <c r="A419" t="s">
        <v>421</v>
      </c>
      <c r="B419">
        <v>293071.75919999997</v>
      </c>
      <c r="C419">
        <v>310240.37839999999</v>
      </c>
      <c r="D419">
        <v>7770</v>
      </c>
      <c r="E419" s="5">
        <f t="shared" si="25"/>
        <v>37.718373127413123</v>
      </c>
      <c r="F419" s="5">
        <f t="shared" si="28"/>
        <v>-17168.619200000016</v>
      </c>
      <c r="G419" s="5">
        <f t="shared" si="26"/>
        <v>-171.68619200000015</v>
      </c>
      <c r="H419" s="5">
        <f t="shared" si="27"/>
        <v>-2.2096035006435026</v>
      </c>
    </row>
    <row r="420" spans="1:8" x14ac:dyDescent="0.25">
      <c r="A420" t="s">
        <v>422</v>
      </c>
      <c r="B420">
        <v>267782.15399999998</v>
      </c>
      <c r="C420">
        <v>283430.33679999999</v>
      </c>
      <c r="D420">
        <v>7102</v>
      </c>
      <c r="E420" s="5">
        <f t="shared" si="25"/>
        <v>37.705175161926213</v>
      </c>
      <c r="F420" s="5">
        <f t="shared" si="28"/>
        <v>-15648.18280000001</v>
      </c>
      <c r="G420" s="5">
        <f t="shared" si="26"/>
        <v>-156.48182800000009</v>
      </c>
      <c r="H420" s="5">
        <f t="shared" si="27"/>
        <v>-2.2033487468318795</v>
      </c>
    </row>
    <row r="421" spans="1:8" x14ac:dyDescent="0.25">
      <c r="A421" t="s">
        <v>423</v>
      </c>
      <c r="B421">
        <v>136052.68840000001</v>
      </c>
      <c r="C421">
        <v>144020.12280000001</v>
      </c>
      <c r="D421">
        <v>3608</v>
      </c>
      <c r="E421" s="5">
        <f t="shared" si="25"/>
        <v>37.708616518847009</v>
      </c>
      <c r="F421" s="5">
        <f t="shared" si="28"/>
        <v>-7967.4343999999983</v>
      </c>
      <c r="G421" s="5">
        <f t="shared" si="26"/>
        <v>-79.674343999999977</v>
      </c>
      <c r="H421" s="5">
        <f t="shared" si="27"/>
        <v>-2.2082689578713963</v>
      </c>
    </row>
    <row r="422" spans="1:8" x14ac:dyDescent="0.25">
      <c r="A422" t="s">
        <v>424</v>
      </c>
      <c r="B422">
        <v>86703.31409</v>
      </c>
      <c r="C422">
        <v>85730.966539999994</v>
      </c>
      <c r="D422">
        <v>2150</v>
      </c>
      <c r="E422" s="5">
        <f t="shared" si="25"/>
        <v>40.327122832558139</v>
      </c>
      <c r="F422" s="5">
        <f t="shared" si="28"/>
        <v>972.34755000000587</v>
      </c>
      <c r="G422" s="5">
        <f t="shared" si="26"/>
        <v>9.7234755000000579</v>
      </c>
      <c r="H422" s="5">
        <f t="shared" si="27"/>
        <v>0.45225467441860739</v>
      </c>
    </row>
    <row r="423" spans="1:8" x14ac:dyDescent="0.25">
      <c r="A423" t="s">
        <v>425</v>
      </c>
      <c r="B423">
        <v>95474.357369999998</v>
      </c>
      <c r="C423">
        <v>100867.5241</v>
      </c>
      <c r="D423">
        <v>2530</v>
      </c>
      <c r="E423" s="5">
        <f t="shared" si="25"/>
        <v>37.736900146245056</v>
      </c>
      <c r="F423" s="5">
        <f t="shared" si="28"/>
        <v>-5393.1667299999972</v>
      </c>
      <c r="G423" s="5">
        <f t="shared" si="26"/>
        <v>-53.931667299999972</v>
      </c>
      <c r="H423" s="5">
        <f t="shared" si="27"/>
        <v>-2.1316864545454535</v>
      </c>
    </row>
    <row r="424" spans="1:8" x14ac:dyDescent="0.25">
      <c r="A424" t="s">
        <v>426</v>
      </c>
      <c r="B424">
        <v>198431.6275</v>
      </c>
      <c r="C424">
        <v>209499.7941</v>
      </c>
      <c r="D424">
        <v>5253</v>
      </c>
      <c r="E424" s="5">
        <f t="shared" si="25"/>
        <v>37.774914810584427</v>
      </c>
      <c r="F424" s="5">
        <f t="shared" si="28"/>
        <v>-11068.166599999997</v>
      </c>
      <c r="G424" s="5">
        <f t="shared" si="26"/>
        <v>-110.68166599999996</v>
      </c>
      <c r="H424" s="5">
        <f t="shared" si="27"/>
        <v>-2.1070181991243091</v>
      </c>
    </row>
    <row r="425" spans="1:8" x14ac:dyDescent="0.25">
      <c r="A425" t="s">
        <v>427</v>
      </c>
      <c r="B425">
        <v>157291.734</v>
      </c>
      <c r="C425">
        <v>166305.03760000001</v>
      </c>
      <c r="D425">
        <v>4171</v>
      </c>
      <c r="E425" s="5">
        <f t="shared" si="25"/>
        <v>37.71079693119156</v>
      </c>
      <c r="F425" s="5">
        <f t="shared" si="28"/>
        <v>-9013.3036000000138</v>
      </c>
      <c r="G425" s="5">
        <f t="shared" si="26"/>
        <v>-90.133036000000132</v>
      </c>
      <c r="H425" s="5">
        <f t="shared" si="27"/>
        <v>-2.1609454807000752</v>
      </c>
    </row>
    <row r="426" spans="1:8" x14ac:dyDescent="0.25">
      <c r="A426" t="s">
        <v>428</v>
      </c>
      <c r="B426">
        <v>307540.6752</v>
      </c>
      <c r="C426">
        <v>324997.33649999998</v>
      </c>
      <c r="D426">
        <v>8156</v>
      </c>
      <c r="E426" s="5">
        <f t="shared" si="25"/>
        <v>37.707292202059833</v>
      </c>
      <c r="F426" s="5">
        <f t="shared" si="28"/>
        <v>-17456.661299999978</v>
      </c>
      <c r="G426" s="5">
        <f t="shared" si="26"/>
        <v>-174.56661299999979</v>
      </c>
      <c r="H426" s="5">
        <f t="shared" si="27"/>
        <v>-2.1403459171162309</v>
      </c>
    </row>
    <row r="427" spans="1:8" x14ac:dyDescent="0.25">
      <c r="A427" t="s">
        <v>429</v>
      </c>
      <c r="B427">
        <v>350898.7635</v>
      </c>
      <c r="C427">
        <v>375030.63549999997</v>
      </c>
      <c r="D427">
        <v>9296</v>
      </c>
      <c r="E427" s="5">
        <f t="shared" si="25"/>
        <v>37.747285230206543</v>
      </c>
      <c r="F427" s="5">
        <f t="shared" si="28"/>
        <v>-24131.871999999974</v>
      </c>
      <c r="G427" s="5">
        <f t="shared" si="26"/>
        <v>-241.31871999999973</v>
      </c>
      <c r="H427" s="5">
        <f t="shared" si="27"/>
        <v>-2.5959414802065375</v>
      </c>
    </row>
    <row r="428" spans="1:8" x14ac:dyDescent="0.25">
      <c r="A428" t="s">
        <v>430</v>
      </c>
      <c r="B428">
        <v>256701.54269999999</v>
      </c>
      <c r="C428">
        <v>276569.25040000002</v>
      </c>
      <c r="D428">
        <v>6803</v>
      </c>
      <c r="E428" s="5">
        <f t="shared" si="25"/>
        <v>37.733579700132296</v>
      </c>
      <c r="F428" s="5">
        <f t="shared" si="28"/>
        <v>-19867.707700000028</v>
      </c>
      <c r="G428" s="5">
        <f t="shared" si="26"/>
        <v>-198.67707700000028</v>
      </c>
      <c r="H428" s="5">
        <f t="shared" si="27"/>
        <v>-2.9204332941349445</v>
      </c>
    </row>
    <row r="429" spans="1:8" x14ac:dyDescent="0.25">
      <c r="A429" t="s">
        <v>431</v>
      </c>
      <c r="B429">
        <v>234705.59280000001</v>
      </c>
      <c r="C429">
        <v>252709.82310000001</v>
      </c>
      <c r="D429">
        <v>6221</v>
      </c>
      <c r="E429" s="5">
        <f t="shared" si="25"/>
        <v>37.727952547821893</v>
      </c>
      <c r="F429" s="5">
        <f t="shared" si="28"/>
        <v>-18004.230299999996</v>
      </c>
      <c r="G429" s="5">
        <f t="shared" si="26"/>
        <v>-180.04230299999995</v>
      </c>
      <c r="H429" s="5">
        <f t="shared" si="27"/>
        <v>-2.8941054975084386</v>
      </c>
    </row>
    <row r="430" spans="1:8" x14ac:dyDescent="0.25">
      <c r="A430" t="s">
        <v>432</v>
      </c>
      <c r="B430">
        <v>249380.56539999999</v>
      </c>
      <c r="C430">
        <v>268761.83240000001</v>
      </c>
      <c r="D430">
        <v>6611</v>
      </c>
      <c r="E430" s="5">
        <f t="shared" si="25"/>
        <v>37.722064044773859</v>
      </c>
      <c r="F430" s="5">
        <f t="shared" si="28"/>
        <v>-19381.267000000022</v>
      </c>
      <c r="G430" s="5">
        <f t="shared" si="26"/>
        <v>-193.81267000000022</v>
      </c>
      <c r="H430" s="5">
        <f t="shared" si="27"/>
        <v>-2.9316694902435367</v>
      </c>
    </row>
    <row r="431" spans="1:8" x14ac:dyDescent="0.25">
      <c r="A431" t="s">
        <v>433</v>
      </c>
      <c r="B431">
        <v>258211.4442</v>
      </c>
      <c r="C431">
        <v>278825.6067</v>
      </c>
      <c r="D431">
        <v>6843</v>
      </c>
      <c r="E431" s="5">
        <f t="shared" si="25"/>
        <v>37.733661288908372</v>
      </c>
      <c r="F431" s="5">
        <f t="shared" si="28"/>
        <v>-20614.162500000006</v>
      </c>
      <c r="G431" s="5">
        <f t="shared" si="26"/>
        <v>-206.14162500000006</v>
      </c>
      <c r="H431" s="5">
        <f t="shared" si="27"/>
        <v>-3.0124451994739156</v>
      </c>
    </row>
    <row r="432" spans="1:8" x14ac:dyDescent="0.25">
      <c r="A432" t="s">
        <v>434</v>
      </c>
      <c r="B432">
        <v>145975.8339</v>
      </c>
      <c r="C432">
        <v>157578.00589999999</v>
      </c>
      <c r="D432">
        <v>3858</v>
      </c>
      <c r="E432" s="5">
        <f t="shared" si="25"/>
        <v>37.837178304821151</v>
      </c>
      <c r="F432" s="5">
        <f t="shared" si="28"/>
        <v>-11602.171999999991</v>
      </c>
      <c r="G432" s="5">
        <f t="shared" si="26"/>
        <v>-116.02171999999992</v>
      </c>
      <c r="H432" s="5">
        <f t="shared" si="27"/>
        <v>-3.0073022291342641</v>
      </c>
    </row>
    <row r="433" spans="1:8" x14ac:dyDescent="0.25">
      <c r="A433" t="s">
        <v>435</v>
      </c>
      <c r="B433">
        <v>269239.85259999998</v>
      </c>
      <c r="C433">
        <v>291365.01760000002</v>
      </c>
      <c r="D433">
        <v>7128</v>
      </c>
      <c r="E433" s="5">
        <f t="shared" si="25"/>
        <v>37.772145426487093</v>
      </c>
      <c r="F433" s="5">
        <f t="shared" si="28"/>
        <v>-22125.165000000037</v>
      </c>
      <c r="G433" s="5">
        <f t="shared" si="26"/>
        <v>-221.25165000000038</v>
      </c>
      <c r="H433" s="5">
        <f t="shared" si="27"/>
        <v>-3.1039793771043822</v>
      </c>
    </row>
    <row r="434" spans="1:8" x14ac:dyDescent="0.25">
      <c r="A434" t="s">
        <v>436</v>
      </c>
      <c r="B434">
        <v>306920.21159999998</v>
      </c>
      <c r="C434">
        <v>332242.41159999999</v>
      </c>
      <c r="D434">
        <v>8127</v>
      </c>
      <c r="E434" s="5">
        <f t="shared" si="25"/>
        <v>37.765499150978215</v>
      </c>
      <c r="F434" s="5">
        <f t="shared" si="28"/>
        <v>-25322.200000000012</v>
      </c>
      <c r="G434" s="5">
        <f t="shared" si="26"/>
        <v>-253.22200000000012</v>
      </c>
      <c r="H434" s="5">
        <f t="shared" si="27"/>
        <v>-3.1158114925556801</v>
      </c>
    </row>
    <row r="435" spans="1:8" x14ac:dyDescent="0.25">
      <c r="A435" t="s">
        <v>437</v>
      </c>
      <c r="B435">
        <v>122106.7956</v>
      </c>
      <c r="C435">
        <v>121394.8122</v>
      </c>
      <c r="D435">
        <v>2966</v>
      </c>
      <c r="E435" s="5">
        <f t="shared" si="25"/>
        <v>41.168845448415375</v>
      </c>
      <c r="F435" s="5">
        <f t="shared" si="28"/>
        <v>711.98339999999735</v>
      </c>
      <c r="G435" s="5">
        <f t="shared" si="26"/>
        <v>7.1198339999999734</v>
      </c>
      <c r="H435" s="5">
        <f t="shared" si="27"/>
        <v>0.24004834794335717</v>
      </c>
    </row>
    <row r="436" spans="1:8" x14ac:dyDescent="0.25">
      <c r="A436" t="s">
        <v>438</v>
      </c>
      <c r="B436">
        <v>117661.28079999999</v>
      </c>
      <c r="C436">
        <v>116861.1583</v>
      </c>
      <c r="D436">
        <v>2858</v>
      </c>
      <c r="E436" s="5">
        <f t="shared" si="25"/>
        <v>41.169097550734776</v>
      </c>
      <c r="F436" s="5">
        <f t="shared" si="28"/>
        <v>800.12249999999767</v>
      </c>
      <c r="G436" s="5">
        <f t="shared" si="26"/>
        <v>8.0012249999999767</v>
      </c>
      <c r="H436" s="5">
        <f t="shared" si="27"/>
        <v>0.27995888733379903</v>
      </c>
    </row>
    <row r="437" spans="1:8" x14ac:dyDescent="0.25">
      <c r="A437" t="s">
        <v>439</v>
      </c>
      <c r="B437">
        <v>62499.799169999998</v>
      </c>
      <c r="C437">
        <v>62073.872649999998</v>
      </c>
      <c r="D437">
        <v>1518</v>
      </c>
      <c r="E437" s="5">
        <f t="shared" si="25"/>
        <v>41.172463221343875</v>
      </c>
      <c r="F437" s="5">
        <f t="shared" si="28"/>
        <v>425.92652000000089</v>
      </c>
      <c r="G437" s="5">
        <f t="shared" si="26"/>
        <v>4.2592652000000086</v>
      </c>
      <c r="H437" s="5">
        <f t="shared" si="27"/>
        <v>0.28058400527009281</v>
      </c>
    </row>
    <row r="438" spans="1:8" x14ac:dyDescent="0.25">
      <c r="A438" t="s">
        <v>440</v>
      </c>
      <c r="B438">
        <v>57063.984120000001</v>
      </c>
      <c r="C438">
        <v>56638.281369999997</v>
      </c>
      <c r="D438">
        <v>1386</v>
      </c>
      <c r="E438" s="5">
        <f t="shared" si="25"/>
        <v>41.171705714285714</v>
      </c>
      <c r="F438" s="5">
        <f t="shared" si="28"/>
        <v>425.70275000000402</v>
      </c>
      <c r="G438" s="5">
        <f t="shared" si="26"/>
        <v>4.2570275000000404</v>
      </c>
      <c r="H438" s="5">
        <f t="shared" si="27"/>
        <v>0.30714484126984415</v>
      </c>
    </row>
    <row r="439" spans="1:8" x14ac:dyDescent="0.25">
      <c r="A439" t="s">
        <v>441</v>
      </c>
      <c r="B439">
        <v>48008.482839999997</v>
      </c>
      <c r="C439">
        <v>47681.672079999997</v>
      </c>
      <c r="D439">
        <v>1166</v>
      </c>
      <c r="E439" s="5">
        <f t="shared" si="25"/>
        <v>41.173655951972556</v>
      </c>
      <c r="F439" s="5">
        <f t="shared" si="28"/>
        <v>326.8107600000003</v>
      </c>
      <c r="G439" s="5">
        <f t="shared" si="26"/>
        <v>3.2681076000000031</v>
      </c>
      <c r="H439" s="5">
        <f t="shared" si="27"/>
        <v>0.28028367066895393</v>
      </c>
    </row>
    <row r="440" spans="1:8" x14ac:dyDescent="0.25">
      <c r="A440" t="s">
        <v>442</v>
      </c>
      <c r="B440">
        <v>117446.8391</v>
      </c>
      <c r="C440">
        <v>116681.1416</v>
      </c>
      <c r="D440">
        <v>2853</v>
      </c>
      <c r="E440" s="5">
        <f t="shared" si="25"/>
        <v>41.166084507535928</v>
      </c>
      <c r="F440" s="5">
        <f t="shared" si="28"/>
        <v>765.69749999999476</v>
      </c>
      <c r="G440" s="5">
        <f t="shared" si="26"/>
        <v>7.6569749999999477</v>
      </c>
      <c r="H440" s="5">
        <f t="shared" si="27"/>
        <v>0.26838328075709594</v>
      </c>
    </row>
    <row r="441" spans="1:8" x14ac:dyDescent="0.25">
      <c r="A441" t="s">
        <v>443</v>
      </c>
      <c r="B441">
        <v>150591.54790000001</v>
      </c>
      <c r="C441">
        <v>149573.82759999999</v>
      </c>
      <c r="D441">
        <v>3657</v>
      </c>
      <c r="E441" s="5">
        <f t="shared" si="25"/>
        <v>41.178984933005196</v>
      </c>
      <c r="F441" s="5">
        <f t="shared" si="28"/>
        <v>1017.7203000000154</v>
      </c>
      <c r="G441" s="5">
        <f t="shared" si="26"/>
        <v>10.177203000000155</v>
      </c>
      <c r="H441" s="5">
        <f t="shared" si="27"/>
        <v>0.27829376538146444</v>
      </c>
    </row>
    <row r="442" spans="1:8" x14ac:dyDescent="0.25">
      <c r="A442" t="s">
        <v>444</v>
      </c>
      <c r="B442">
        <v>67152.474950000003</v>
      </c>
      <c r="C442">
        <v>66802.983219999995</v>
      </c>
      <c r="D442">
        <v>1631</v>
      </c>
      <c r="E442" s="5">
        <f t="shared" si="25"/>
        <v>41.172578142244021</v>
      </c>
      <c r="F442" s="5">
        <f t="shared" si="28"/>
        <v>349.49173000000883</v>
      </c>
      <c r="G442" s="5">
        <f t="shared" si="26"/>
        <v>3.4949173000000884</v>
      </c>
      <c r="H442" s="5">
        <f t="shared" si="27"/>
        <v>0.21428064377682945</v>
      </c>
    </row>
    <row r="443" spans="1:8" x14ac:dyDescent="0.25">
      <c r="A443" t="s">
        <v>445</v>
      </c>
      <c r="B443">
        <v>80635.289250000002</v>
      </c>
      <c r="C443">
        <v>80121.290519999995</v>
      </c>
      <c r="D443">
        <v>1959</v>
      </c>
      <c r="E443" s="5">
        <f t="shared" si="25"/>
        <v>41.16145444104135</v>
      </c>
      <c r="F443" s="5">
        <f t="shared" si="28"/>
        <v>513.99873000000662</v>
      </c>
      <c r="G443" s="5">
        <f t="shared" si="26"/>
        <v>5.1399873000000662</v>
      </c>
      <c r="H443" s="5">
        <f t="shared" si="27"/>
        <v>0.26237811638591457</v>
      </c>
    </row>
    <row r="444" spans="1:8" x14ac:dyDescent="0.25">
      <c r="A444" t="s">
        <v>446</v>
      </c>
      <c r="B444">
        <v>50669.6371</v>
      </c>
      <c r="C444">
        <v>50308.957049999997</v>
      </c>
      <c r="D444">
        <v>1230</v>
      </c>
      <c r="E444" s="5">
        <f t="shared" si="25"/>
        <v>41.194826910569105</v>
      </c>
      <c r="F444" s="5">
        <f t="shared" si="28"/>
        <v>360.68005000000267</v>
      </c>
      <c r="G444" s="5">
        <f t="shared" si="26"/>
        <v>3.6068005000000265</v>
      </c>
      <c r="H444" s="5">
        <f t="shared" si="27"/>
        <v>0.29323581300813223</v>
      </c>
    </row>
    <row r="445" spans="1:8" x14ac:dyDescent="0.25">
      <c r="A445" t="s">
        <v>447</v>
      </c>
      <c r="B445">
        <v>48648.992660000004</v>
      </c>
      <c r="C445">
        <v>48362.068789999998</v>
      </c>
      <c r="D445">
        <v>1182</v>
      </c>
      <c r="E445" s="5">
        <f t="shared" si="25"/>
        <v>41.158200219966162</v>
      </c>
      <c r="F445" s="5">
        <f t="shared" si="28"/>
        <v>286.92387000000599</v>
      </c>
      <c r="G445" s="5">
        <f t="shared" si="26"/>
        <v>2.8692387000000599</v>
      </c>
      <c r="H445" s="5">
        <f t="shared" si="27"/>
        <v>0.24274439086294924</v>
      </c>
    </row>
    <row r="446" spans="1:8" x14ac:dyDescent="0.25">
      <c r="A446" t="s">
        <v>448</v>
      </c>
      <c r="B446">
        <v>43213.177620000002</v>
      </c>
      <c r="C446">
        <v>42981.216849999997</v>
      </c>
      <c r="D446">
        <v>1050</v>
      </c>
      <c r="E446" s="5">
        <f t="shared" si="25"/>
        <v>41.155407257142862</v>
      </c>
      <c r="F446" s="5">
        <f xml:space="preserve"> B446-C446</f>
        <v>231.96077000000514</v>
      </c>
      <c r="G446" s="5">
        <f t="shared" si="26"/>
        <v>2.3196077000000512</v>
      </c>
      <c r="H446" s="5">
        <f t="shared" si="27"/>
        <v>0.22091501904762395</v>
      </c>
    </row>
    <row r="447" spans="1:8" x14ac:dyDescent="0.25">
      <c r="A447" t="s">
        <v>449</v>
      </c>
      <c r="B447">
        <v>96881.018089999998</v>
      </c>
      <c r="C447">
        <v>96453.287280000004</v>
      </c>
      <c r="D447">
        <v>2353</v>
      </c>
      <c r="E447" s="5">
        <f t="shared" si="25"/>
        <v>41.173403353166172</v>
      </c>
      <c r="F447" s="5">
        <f t="shared" ref="F447:F510" si="29" xml:space="preserve"> B447-C447</f>
        <v>427.73080999999365</v>
      </c>
      <c r="G447" s="5">
        <f t="shared" si="26"/>
        <v>4.2773080999999369</v>
      </c>
      <c r="H447" s="5">
        <f t="shared" si="27"/>
        <v>0.1817810497237542</v>
      </c>
    </row>
    <row r="448" spans="1:8" x14ac:dyDescent="0.25">
      <c r="A448" t="s">
        <v>450</v>
      </c>
      <c r="B448">
        <v>121360.8851</v>
      </c>
      <c r="C448">
        <v>120829.288</v>
      </c>
      <c r="D448">
        <v>2947</v>
      </c>
      <c r="E448" s="5">
        <f t="shared" si="25"/>
        <v>41.181162232779094</v>
      </c>
      <c r="F448" s="5">
        <f t="shared" si="29"/>
        <v>531.59709999999905</v>
      </c>
      <c r="G448" s="5">
        <f t="shared" si="26"/>
        <v>5.3159709999999905</v>
      </c>
      <c r="H448" s="5">
        <f t="shared" si="27"/>
        <v>0.18038585001696608</v>
      </c>
    </row>
    <row r="449" spans="1:8" x14ac:dyDescent="0.25">
      <c r="A449" t="s">
        <v>451</v>
      </c>
      <c r="B449">
        <v>66954.366370000003</v>
      </c>
      <c r="C449">
        <v>66756.376439999993</v>
      </c>
      <c r="D449">
        <v>1626</v>
      </c>
      <c r="E449" s="5">
        <f t="shared" si="25"/>
        <v>41.177347091020913</v>
      </c>
      <c r="F449" s="5">
        <f t="shared" si="29"/>
        <v>197.98993000001065</v>
      </c>
      <c r="G449" s="5">
        <f t="shared" si="26"/>
        <v>1.9798993000001064</v>
      </c>
      <c r="H449" s="5">
        <f t="shared" si="27"/>
        <v>0.12176502460025256</v>
      </c>
    </row>
    <row r="450" spans="1:8" x14ac:dyDescent="0.25">
      <c r="A450" t="s">
        <v>452</v>
      </c>
      <c r="B450">
        <v>81342.150760000004</v>
      </c>
      <c r="C450">
        <v>81132.012900000002</v>
      </c>
      <c r="D450">
        <v>1976</v>
      </c>
      <c r="E450" s="5">
        <f t="shared" si="25"/>
        <v>41.165056052631584</v>
      </c>
      <c r="F450" s="5">
        <f t="shared" si="29"/>
        <v>210.13786000000255</v>
      </c>
      <c r="G450" s="5">
        <f t="shared" si="26"/>
        <v>2.1013786000000256</v>
      </c>
      <c r="H450" s="5">
        <f t="shared" si="27"/>
        <v>0.10634507085020371</v>
      </c>
    </row>
    <row r="451" spans="1:8" x14ac:dyDescent="0.25">
      <c r="A451" t="s">
        <v>453</v>
      </c>
      <c r="B451">
        <v>125060.70789999999</v>
      </c>
      <c r="C451">
        <v>136375.15270000001</v>
      </c>
      <c r="D451">
        <v>3312</v>
      </c>
      <c r="E451" s="5">
        <f t="shared" ref="E451:E514" si="30">B451/D451</f>
        <v>37.759875573671493</v>
      </c>
      <c r="F451" s="5">
        <f t="shared" si="29"/>
        <v>-11314.444800000012</v>
      </c>
      <c r="G451" s="5">
        <f t="shared" ref="G451:G514" si="31">F451/100</f>
        <v>-113.14444800000012</v>
      </c>
      <c r="H451" s="5">
        <f t="shared" ref="H451:H514" si="32">F451/D451</f>
        <v>-3.4161971014492791</v>
      </c>
    </row>
    <row r="452" spans="1:8" x14ac:dyDescent="0.25">
      <c r="A452" t="s">
        <v>454</v>
      </c>
      <c r="B452">
        <v>253218.83119999999</v>
      </c>
      <c r="C452">
        <v>276194.82949999999</v>
      </c>
      <c r="D452">
        <v>6704</v>
      </c>
      <c r="E452" s="5">
        <f t="shared" si="30"/>
        <v>37.771305369928399</v>
      </c>
      <c r="F452" s="5">
        <f t="shared" si="29"/>
        <v>-22975.998300000007</v>
      </c>
      <c r="G452" s="5">
        <f t="shared" si="31"/>
        <v>-229.75998300000006</v>
      </c>
      <c r="H452" s="5">
        <f t="shared" si="32"/>
        <v>-3.4272073836515524</v>
      </c>
    </row>
    <row r="453" spans="1:8" x14ac:dyDescent="0.25">
      <c r="A453" t="s">
        <v>455</v>
      </c>
      <c r="B453">
        <v>229184.4719</v>
      </c>
      <c r="C453">
        <v>250361.1502</v>
      </c>
      <c r="D453">
        <v>6077</v>
      </c>
      <c r="E453" s="5">
        <f t="shared" si="30"/>
        <v>37.713423054138559</v>
      </c>
      <c r="F453" s="5">
        <f t="shared" si="29"/>
        <v>-21176.6783</v>
      </c>
      <c r="G453" s="5">
        <f t="shared" si="31"/>
        <v>-211.766783</v>
      </c>
      <c r="H453" s="5">
        <f t="shared" si="32"/>
        <v>-3.4847257363830835</v>
      </c>
    </row>
    <row r="454" spans="1:8" x14ac:dyDescent="0.25">
      <c r="A454" t="s">
        <v>456</v>
      </c>
      <c r="B454">
        <v>354191.35100000002</v>
      </c>
      <c r="C454">
        <v>386464.65130000003</v>
      </c>
      <c r="D454">
        <v>9386</v>
      </c>
      <c r="E454" s="5">
        <f t="shared" si="30"/>
        <v>37.736133709780525</v>
      </c>
      <c r="F454" s="5">
        <f t="shared" si="29"/>
        <v>-32273.300300000003</v>
      </c>
      <c r="G454" s="5">
        <f t="shared" si="31"/>
        <v>-322.73300300000005</v>
      </c>
      <c r="H454" s="5">
        <f t="shared" si="32"/>
        <v>-3.4384509162582573</v>
      </c>
    </row>
    <row r="455" spans="1:8" x14ac:dyDescent="0.25">
      <c r="A455" t="s">
        <v>457</v>
      </c>
      <c r="B455">
        <v>459484.6666</v>
      </c>
      <c r="C455">
        <v>501362.57250000001</v>
      </c>
      <c r="D455">
        <v>12181</v>
      </c>
      <c r="E455" s="5">
        <f t="shared" si="30"/>
        <v>37.721424070273379</v>
      </c>
      <c r="F455" s="5">
        <f t="shared" si="29"/>
        <v>-41877.905900000012</v>
      </c>
      <c r="G455" s="5">
        <f t="shared" si="31"/>
        <v>-418.77905900000013</v>
      </c>
      <c r="H455" s="5">
        <f t="shared" si="32"/>
        <v>-3.4379694524259103</v>
      </c>
    </row>
    <row r="456" spans="1:8" x14ac:dyDescent="0.25">
      <c r="A456" t="s">
        <v>458</v>
      </c>
      <c r="B456">
        <v>224102.8885</v>
      </c>
      <c r="C456">
        <v>244359.8075</v>
      </c>
      <c r="D456">
        <v>5937</v>
      </c>
      <c r="E456" s="5">
        <f t="shared" si="30"/>
        <v>37.746823058783896</v>
      </c>
      <c r="F456" s="5">
        <f t="shared" si="29"/>
        <v>-20256.918999999994</v>
      </c>
      <c r="G456" s="5">
        <f t="shared" si="31"/>
        <v>-202.56918999999994</v>
      </c>
      <c r="H456" s="5">
        <f t="shared" si="32"/>
        <v>-3.4119789455954175</v>
      </c>
    </row>
    <row r="457" spans="1:8" x14ac:dyDescent="0.25">
      <c r="A457" t="s">
        <v>459</v>
      </c>
      <c r="B457">
        <v>215203.5588</v>
      </c>
      <c r="C457">
        <v>234819.4474</v>
      </c>
      <c r="D457">
        <v>5706</v>
      </c>
      <c r="E457" s="5">
        <f t="shared" si="30"/>
        <v>37.715309989484751</v>
      </c>
      <c r="F457" s="5">
        <f t="shared" si="29"/>
        <v>-19615.888600000006</v>
      </c>
      <c r="G457" s="5">
        <f t="shared" si="31"/>
        <v>-196.15888600000005</v>
      </c>
      <c r="H457" s="5">
        <f t="shared" si="32"/>
        <v>-3.43776526463372</v>
      </c>
    </row>
    <row r="458" spans="1:8" x14ac:dyDescent="0.25">
      <c r="A458" t="s">
        <v>460</v>
      </c>
      <c r="B458">
        <v>355534.91200000001</v>
      </c>
      <c r="C458">
        <v>386988.91470000002</v>
      </c>
      <c r="D458">
        <v>9421</v>
      </c>
      <c r="E458" s="5">
        <f t="shared" si="30"/>
        <v>37.738553444432654</v>
      </c>
      <c r="F458" s="5">
        <f t="shared" si="29"/>
        <v>-31454.002700000012</v>
      </c>
      <c r="G458" s="5">
        <f t="shared" si="31"/>
        <v>-314.54002700000012</v>
      </c>
      <c r="H458" s="5">
        <f t="shared" si="32"/>
        <v>-3.3387116760428843</v>
      </c>
    </row>
    <row r="459" spans="1:8" x14ac:dyDescent="0.25">
      <c r="A459" t="s">
        <v>461</v>
      </c>
      <c r="B459">
        <v>498894.34389999998</v>
      </c>
      <c r="C459">
        <v>542483.8358</v>
      </c>
      <c r="D459">
        <v>13207</v>
      </c>
      <c r="E459" s="5">
        <f t="shared" si="30"/>
        <v>37.774993859317028</v>
      </c>
      <c r="F459" s="5">
        <f t="shared" si="29"/>
        <v>-43589.491900000023</v>
      </c>
      <c r="G459" s="5">
        <f t="shared" si="31"/>
        <v>-435.89491900000024</v>
      </c>
      <c r="H459" s="5">
        <f t="shared" si="32"/>
        <v>-3.3004839781933839</v>
      </c>
    </row>
    <row r="460" spans="1:8" x14ac:dyDescent="0.25">
      <c r="A460" t="s">
        <v>462</v>
      </c>
      <c r="B460">
        <v>715032.1899</v>
      </c>
      <c r="C460">
        <v>777522.19279999996</v>
      </c>
      <c r="D460">
        <v>18936</v>
      </c>
      <c r="E460" s="5">
        <f t="shared" si="30"/>
        <v>37.760466302281365</v>
      </c>
      <c r="F460" s="5">
        <f t="shared" si="29"/>
        <v>-62490.002899999963</v>
      </c>
      <c r="G460" s="5">
        <f t="shared" si="31"/>
        <v>-624.90002899999968</v>
      </c>
      <c r="H460" s="5">
        <f t="shared" si="32"/>
        <v>-3.3000635245035892</v>
      </c>
    </row>
    <row r="461" spans="1:8" x14ac:dyDescent="0.25">
      <c r="A461" t="s">
        <v>463</v>
      </c>
      <c r="B461">
        <v>510289.2156</v>
      </c>
      <c r="C461">
        <v>554159.81940000004</v>
      </c>
      <c r="D461">
        <v>13503</v>
      </c>
      <c r="E461" s="5">
        <f t="shared" si="30"/>
        <v>37.790803199289044</v>
      </c>
      <c r="F461" s="5">
        <f t="shared" si="29"/>
        <v>-43870.603800000041</v>
      </c>
      <c r="G461" s="5">
        <f t="shared" si="31"/>
        <v>-438.70603800000043</v>
      </c>
      <c r="H461" s="5">
        <f t="shared" si="32"/>
        <v>-3.2489523661408608</v>
      </c>
    </row>
    <row r="462" spans="1:8" x14ac:dyDescent="0.25">
      <c r="A462" t="s">
        <v>464</v>
      </c>
      <c r="B462">
        <v>400302.03950000001</v>
      </c>
      <c r="C462">
        <v>434872.72889999999</v>
      </c>
      <c r="D462">
        <v>10600</v>
      </c>
      <c r="E462" s="5">
        <f t="shared" si="30"/>
        <v>37.764343349056603</v>
      </c>
      <c r="F462" s="5">
        <f t="shared" si="29"/>
        <v>-34570.689399999974</v>
      </c>
      <c r="G462" s="5">
        <f t="shared" si="31"/>
        <v>-345.70689399999975</v>
      </c>
      <c r="H462" s="5">
        <f t="shared" si="32"/>
        <v>-3.2613857924528276</v>
      </c>
    </row>
    <row r="463" spans="1:8" x14ac:dyDescent="0.25">
      <c r="A463" t="s">
        <v>465</v>
      </c>
      <c r="B463">
        <v>135578.2034</v>
      </c>
      <c r="C463">
        <v>147335.92509999999</v>
      </c>
      <c r="D463">
        <v>3591</v>
      </c>
      <c r="E463" s="5">
        <f t="shared" si="30"/>
        <v>37.75499955444166</v>
      </c>
      <c r="F463" s="5">
        <f t="shared" si="29"/>
        <v>-11757.721699999995</v>
      </c>
      <c r="G463" s="5">
        <f t="shared" si="31"/>
        <v>-117.57721699999995</v>
      </c>
      <c r="H463" s="5">
        <f t="shared" si="32"/>
        <v>-3.274219353940405</v>
      </c>
    </row>
    <row r="464" spans="1:8" x14ac:dyDescent="0.25">
      <c r="A464" t="s">
        <v>466</v>
      </c>
      <c r="B464">
        <v>182466.25520000001</v>
      </c>
      <c r="C464">
        <v>198405.2291</v>
      </c>
      <c r="D464">
        <v>4836</v>
      </c>
      <c r="E464" s="5">
        <f t="shared" si="30"/>
        <v>37.730822001654261</v>
      </c>
      <c r="F464" s="5">
        <f t="shared" si="29"/>
        <v>-15938.973899999983</v>
      </c>
      <c r="G464" s="5">
        <f t="shared" si="31"/>
        <v>-159.38973899999982</v>
      </c>
      <c r="H464" s="5">
        <f t="shared" si="32"/>
        <v>-3.2959003101736939</v>
      </c>
    </row>
    <row r="465" spans="1:8" x14ac:dyDescent="0.25">
      <c r="A465" t="s">
        <v>467</v>
      </c>
      <c r="B465">
        <v>176814.20259999999</v>
      </c>
      <c r="C465">
        <v>178390.14910000001</v>
      </c>
      <c r="D465">
        <v>4348</v>
      </c>
      <c r="E465" s="5">
        <f t="shared" si="30"/>
        <v>40.665639972401102</v>
      </c>
      <c r="F465" s="5">
        <f t="shared" si="29"/>
        <v>-1575.94650000002</v>
      </c>
      <c r="G465" s="5">
        <f t="shared" si="31"/>
        <v>-15.759465000000199</v>
      </c>
      <c r="H465" s="5">
        <f t="shared" si="32"/>
        <v>-0.36245319687212973</v>
      </c>
    </row>
    <row r="466" spans="1:8" x14ac:dyDescent="0.25">
      <c r="A466" t="s">
        <v>468</v>
      </c>
      <c r="B466">
        <v>100917.6716</v>
      </c>
      <c r="C466">
        <v>100579.1289</v>
      </c>
      <c r="D466">
        <v>2451</v>
      </c>
      <c r="E466" s="5">
        <f t="shared" si="30"/>
        <v>41.174080620155038</v>
      </c>
      <c r="F466" s="5">
        <f t="shared" si="29"/>
        <v>338.54270000000542</v>
      </c>
      <c r="G466" s="5">
        <f t="shared" si="31"/>
        <v>3.3854270000000541</v>
      </c>
      <c r="H466" s="5">
        <f t="shared" si="32"/>
        <v>0.13812431660546937</v>
      </c>
    </row>
    <row r="467" spans="1:8" x14ac:dyDescent="0.25">
      <c r="A467" t="s">
        <v>469</v>
      </c>
      <c r="B467">
        <v>74690.672730000006</v>
      </c>
      <c r="C467">
        <v>74427.58597</v>
      </c>
      <c r="D467">
        <v>1814</v>
      </c>
      <c r="E467" s="5">
        <f t="shared" si="30"/>
        <v>41.17457151598677</v>
      </c>
      <c r="F467" s="5">
        <f t="shared" si="29"/>
        <v>263.0867600000056</v>
      </c>
      <c r="G467" s="5">
        <f t="shared" si="31"/>
        <v>2.6308676000000562</v>
      </c>
      <c r="H467" s="5">
        <f t="shared" si="32"/>
        <v>0.14503128996692702</v>
      </c>
    </row>
    <row r="468" spans="1:8" x14ac:dyDescent="0.25">
      <c r="A468" t="s">
        <v>470</v>
      </c>
      <c r="B468">
        <v>114067.07709999999</v>
      </c>
      <c r="C468">
        <v>113653.9736</v>
      </c>
      <c r="D468">
        <v>2770</v>
      </c>
      <c r="E468" s="5">
        <f t="shared" si="30"/>
        <v>41.179450216606497</v>
      </c>
      <c r="F468" s="5">
        <f t="shared" si="29"/>
        <v>413.10349999999744</v>
      </c>
      <c r="G468" s="5">
        <f t="shared" si="31"/>
        <v>4.131034999999974</v>
      </c>
      <c r="H468" s="5">
        <f t="shared" si="32"/>
        <v>0.14913483754512544</v>
      </c>
    </row>
    <row r="469" spans="1:8" x14ac:dyDescent="0.25">
      <c r="A469" t="s">
        <v>471</v>
      </c>
      <c r="B469">
        <v>126507.8009</v>
      </c>
      <c r="C469">
        <v>126043.7692</v>
      </c>
      <c r="D469">
        <v>3072</v>
      </c>
      <c r="E469" s="5">
        <f t="shared" si="30"/>
        <v>41.18092477213542</v>
      </c>
      <c r="F469" s="5">
        <f t="shared" si="29"/>
        <v>464.03170000000682</v>
      </c>
      <c r="G469" s="5">
        <f t="shared" si="31"/>
        <v>4.640317000000068</v>
      </c>
      <c r="H469" s="5">
        <f t="shared" si="32"/>
        <v>0.15105198567708555</v>
      </c>
    </row>
    <row r="470" spans="1:8" x14ac:dyDescent="0.25">
      <c r="A470" t="s">
        <v>472</v>
      </c>
      <c r="B470">
        <v>79648.629390000002</v>
      </c>
      <c r="C470">
        <v>79349.402449999994</v>
      </c>
      <c r="D470">
        <v>1934</v>
      </c>
      <c r="E470" s="5">
        <f t="shared" si="30"/>
        <v>41.183365765253363</v>
      </c>
      <c r="F470" s="5">
        <f t="shared" si="29"/>
        <v>299.22694000000774</v>
      </c>
      <c r="G470" s="5">
        <f t="shared" si="31"/>
        <v>2.9922694000000774</v>
      </c>
      <c r="H470" s="5">
        <f t="shared" si="32"/>
        <v>0.15471920372285819</v>
      </c>
    </row>
    <row r="471" spans="1:8" x14ac:dyDescent="0.25">
      <c r="A471" t="s">
        <v>473</v>
      </c>
      <c r="B471">
        <v>83137.432430000001</v>
      </c>
      <c r="C471">
        <v>82700.354170000006</v>
      </c>
      <c r="D471">
        <v>2019</v>
      </c>
      <c r="E471" s="5">
        <f t="shared" si="30"/>
        <v>41.177529683011393</v>
      </c>
      <c r="F471" s="5">
        <f t="shared" si="29"/>
        <v>437.07825999999477</v>
      </c>
      <c r="G471" s="5">
        <f t="shared" si="31"/>
        <v>4.3707825999999477</v>
      </c>
      <c r="H471" s="5">
        <f t="shared" si="32"/>
        <v>0.2164825458147572</v>
      </c>
    </row>
    <row r="472" spans="1:8" x14ac:dyDescent="0.25">
      <c r="A472" t="s">
        <v>474</v>
      </c>
      <c r="B472">
        <v>40776.02706</v>
      </c>
      <c r="C472">
        <v>39940.19958</v>
      </c>
      <c r="D472">
        <v>979</v>
      </c>
      <c r="E472" s="5">
        <f t="shared" si="30"/>
        <v>41.650691583248211</v>
      </c>
      <c r="F472" s="5">
        <f t="shared" si="29"/>
        <v>835.82747999999992</v>
      </c>
      <c r="G472" s="5">
        <f t="shared" si="31"/>
        <v>8.3582747999999985</v>
      </c>
      <c r="H472" s="5">
        <f t="shared" si="32"/>
        <v>0.85375636363636354</v>
      </c>
    </row>
    <row r="473" spans="1:8" x14ac:dyDescent="0.25">
      <c r="A473" t="s">
        <v>475</v>
      </c>
      <c r="B473">
        <v>58278.457929999997</v>
      </c>
      <c r="C473">
        <v>56969.922590000002</v>
      </c>
      <c r="D473">
        <v>1398</v>
      </c>
      <c r="E473" s="5">
        <f t="shared" si="30"/>
        <v>41.687022839771096</v>
      </c>
      <c r="F473" s="5">
        <f t="shared" si="29"/>
        <v>1308.5353399999949</v>
      </c>
      <c r="G473" s="5">
        <f t="shared" si="31"/>
        <v>13.085353399999949</v>
      </c>
      <c r="H473" s="5">
        <f t="shared" si="32"/>
        <v>0.93600525035765014</v>
      </c>
    </row>
    <row r="474" spans="1:8" x14ac:dyDescent="0.25">
      <c r="A474" t="s">
        <v>476</v>
      </c>
      <c r="B474">
        <v>50000.101439999999</v>
      </c>
      <c r="C474">
        <v>48827.88538</v>
      </c>
      <c r="D474">
        <v>1198</v>
      </c>
      <c r="E474" s="5">
        <f t="shared" si="30"/>
        <v>41.736311719532551</v>
      </c>
      <c r="F474" s="5">
        <f t="shared" si="29"/>
        <v>1172.2160599999988</v>
      </c>
      <c r="G474" s="5">
        <f t="shared" si="31"/>
        <v>11.722160599999988</v>
      </c>
      <c r="H474" s="5">
        <f t="shared" si="32"/>
        <v>0.97847751252086712</v>
      </c>
    </row>
    <row r="475" spans="1:8" x14ac:dyDescent="0.25">
      <c r="A475" t="s">
        <v>477</v>
      </c>
      <c r="B475">
        <v>103911.9191</v>
      </c>
      <c r="C475">
        <v>101408.94960000001</v>
      </c>
      <c r="D475">
        <v>2485</v>
      </c>
      <c r="E475" s="5">
        <f t="shared" si="30"/>
        <v>41.815661609657944</v>
      </c>
      <c r="F475" s="5">
        <f t="shared" si="29"/>
        <v>2502.969499999992</v>
      </c>
      <c r="G475" s="5">
        <f t="shared" si="31"/>
        <v>25.029694999999919</v>
      </c>
      <c r="H475" s="5">
        <f t="shared" si="32"/>
        <v>1.0072311871227333</v>
      </c>
    </row>
    <row r="476" spans="1:8" x14ac:dyDescent="0.25">
      <c r="A476" t="s">
        <v>478</v>
      </c>
      <c r="B476">
        <v>132843.22260000001</v>
      </c>
      <c r="C476">
        <v>129545.5321</v>
      </c>
      <c r="D476">
        <v>3172</v>
      </c>
      <c r="E476" s="5">
        <f t="shared" si="30"/>
        <v>41.879956683480458</v>
      </c>
      <c r="F476" s="5">
        <f t="shared" si="29"/>
        <v>3297.6905000000115</v>
      </c>
      <c r="G476" s="5">
        <f t="shared" si="31"/>
        <v>32.976905000000116</v>
      </c>
      <c r="H476" s="5">
        <f t="shared" si="32"/>
        <v>1.0396250000000036</v>
      </c>
    </row>
    <row r="477" spans="1:8" x14ac:dyDescent="0.25">
      <c r="A477" t="s">
        <v>479</v>
      </c>
      <c r="B477">
        <v>62786.611279999997</v>
      </c>
      <c r="C477">
        <v>61213.25591</v>
      </c>
      <c r="D477">
        <v>1497</v>
      </c>
      <c r="E477" s="5">
        <f t="shared" si="30"/>
        <v>41.941624101536405</v>
      </c>
      <c r="F477" s="5">
        <f t="shared" si="29"/>
        <v>1573.3553699999975</v>
      </c>
      <c r="G477" s="5">
        <f t="shared" si="31"/>
        <v>15.733553699999975</v>
      </c>
      <c r="H477" s="5">
        <f t="shared" si="32"/>
        <v>1.051005591182363</v>
      </c>
    </row>
    <row r="478" spans="1:8" x14ac:dyDescent="0.25">
      <c r="A478" t="s">
        <v>480</v>
      </c>
      <c r="B478">
        <v>57233.406640000001</v>
      </c>
      <c r="C478">
        <v>55706.87543</v>
      </c>
      <c r="D478">
        <v>1365</v>
      </c>
      <c r="E478" s="5">
        <f t="shared" si="30"/>
        <v>41.929235633699633</v>
      </c>
      <c r="F478" s="5">
        <f t="shared" si="29"/>
        <v>1526.531210000001</v>
      </c>
      <c r="G478" s="5">
        <f t="shared" si="31"/>
        <v>15.26531210000001</v>
      </c>
      <c r="H478" s="5">
        <f t="shared" si="32"/>
        <v>1.1183378827838835</v>
      </c>
    </row>
    <row r="479" spans="1:8" x14ac:dyDescent="0.25">
      <c r="A479" t="s">
        <v>481</v>
      </c>
      <c r="B479">
        <v>56874.345459999997</v>
      </c>
      <c r="C479">
        <v>55172.17123</v>
      </c>
      <c r="D479">
        <v>1353</v>
      </c>
      <c r="E479" s="5">
        <f t="shared" si="30"/>
        <v>42.03573204730229</v>
      </c>
      <c r="F479" s="5">
        <f t="shared" si="29"/>
        <v>1702.1742299999969</v>
      </c>
      <c r="G479" s="5">
        <f t="shared" si="31"/>
        <v>17.021742299999968</v>
      </c>
      <c r="H479" s="5">
        <f t="shared" si="32"/>
        <v>1.2580740798226142</v>
      </c>
    </row>
    <row r="480" spans="1:8" x14ac:dyDescent="0.25">
      <c r="A480" t="s">
        <v>482</v>
      </c>
      <c r="B480">
        <v>132737.73699999999</v>
      </c>
      <c r="C480">
        <v>140263.9301</v>
      </c>
      <c r="D480">
        <v>3439</v>
      </c>
      <c r="E480" s="5">
        <f t="shared" si="30"/>
        <v>38.597771735969758</v>
      </c>
      <c r="F480" s="5">
        <f t="shared" si="29"/>
        <v>-7526.1931000000041</v>
      </c>
      <c r="G480" s="5">
        <f t="shared" si="31"/>
        <v>-75.261931000000047</v>
      </c>
      <c r="H480" s="5">
        <f t="shared" si="32"/>
        <v>-2.18848301831928</v>
      </c>
    </row>
    <row r="481" spans="1:8" x14ac:dyDescent="0.25">
      <c r="A481" t="s">
        <v>483</v>
      </c>
      <c r="B481">
        <v>60310.338949999998</v>
      </c>
      <c r="C481">
        <v>58446.054929999998</v>
      </c>
      <c r="D481">
        <v>1434</v>
      </c>
      <c r="E481" s="5">
        <f t="shared" si="30"/>
        <v>42.057419072524404</v>
      </c>
      <c r="F481" s="5">
        <f t="shared" si="29"/>
        <v>1864.2840199999991</v>
      </c>
      <c r="G481" s="5">
        <f t="shared" si="31"/>
        <v>18.642840199999991</v>
      </c>
      <c r="H481" s="5">
        <f t="shared" si="32"/>
        <v>1.3000585913528586</v>
      </c>
    </row>
    <row r="482" spans="1:8" x14ac:dyDescent="0.25">
      <c r="A482" t="s">
        <v>484</v>
      </c>
      <c r="B482">
        <v>343587.0085</v>
      </c>
      <c r="C482">
        <v>362390.59600000002</v>
      </c>
      <c r="D482">
        <v>8892</v>
      </c>
      <c r="E482" s="5">
        <f t="shared" si="30"/>
        <v>38.64001445119208</v>
      </c>
      <c r="F482" s="5">
        <f t="shared" si="29"/>
        <v>-18803.587500000023</v>
      </c>
      <c r="G482" s="5">
        <f t="shared" si="31"/>
        <v>-188.03587500000023</v>
      </c>
      <c r="H482" s="5">
        <f t="shared" si="32"/>
        <v>-2.1146634615384641</v>
      </c>
    </row>
    <row r="483" spans="1:8" x14ac:dyDescent="0.25">
      <c r="A483" t="s">
        <v>485</v>
      </c>
      <c r="B483">
        <v>496882.315</v>
      </c>
      <c r="C483">
        <v>535306.00989999995</v>
      </c>
      <c r="D483">
        <v>13144</v>
      </c>
      <c r="E483" s="5">
        <f t="shared" si="30"/>
        <v>37.802975882531953</v>
      </c>
      <c r="F483" s="5">
        <f t="shared" si="29"/>
        <v>-38423.694899999944</v>
      </c>
      <c r="G483" s="5">
        <f t="shared" si="31"/>
        <v>-384.23694899999941</v>
      </c>
      <c r="H483" s="5">
        <f t="shared" si="32"/>
        <v>-2.923287804321359</v>
      </c>
    </row>
    <row r="484" spans="1:8" x14ac:dyDescent="0.25">
      <c r="A484" t="s">
        <v>486</v>
      </c>
      <c r="B484">
        <v>200369.82990000001</v>
      </c>
      <c r="C484">
        <v>210964.76809999999</v>
      </c>
      <c r="D484">
        <v>5179</v>
      </c>
      <c r="E484" s="5">
        <f t="shared" si="30"/>
        <v>38.688903243869476</v>
      </c>
      <c r="F484" s="5">
        <f t="shared" si="29"/>
        <v>-10594.938199999975</v>
      </c>
      <c r="G484" s="5">
        <f t="shared" si="31"/>
        <v>-105.94938199999974</v>
      </c>
      <c r="H484" s="5">
        <f t="shared" si="32"/>
        <v>-2.0457497972581531</v>
      </c>
    </row>
    <row r="485" spans="1:8" x14ac:dyDescent="0.25">
      <c r="A485" t="s">
        <v>487</v>
      </c>
      <c r="B485">
        <v>194028.0618</v>
      </c>
      <c r="C485">
        <v>204053.49890000001</v>
      </c>
      <c r="D485">
        <v>5014</v>
      </c>
      <c r="E485" s="5">
        <f t="shared" si="30"/>
        <v>38.697260031910652</v>
      </c>
      <c r="F485" s="5">
        <f t="shared" si="29"/>
        <v>-10025.43710000001</v>
      </c>
      <c r="G485" s="5">
        <f t="shared" si="31"/>
        <v>-100.25437100000011</v>
      </c>
      <c r="H485" s="5">
        <f t="shared" si="32"/>
        <v>-1.9994888512165956</v>
      </c>
    </row>
    <row r="486" spans="1:8" x14ac:dyDescent="0.25">
      <c r="A486" t="s">
        <v>488</v>
      </c>
      <c r="B486">
        <v>190560.57920000001</v>
      </c>
      <c r="C486">
        <v>200804.0368</v>
      </c>
      <c r="D486">
        <v>4936</v>
      </c>
      <c r="E486" s="5">
        <f t="shared" si="30"/>
        <v>38.60627617504052</v>
      </c>
      <c r="F486" s="5">
        <f t="shared" si="29"/>
        <v>-10243.457599999994</v>
      </c>
      <c r="G486" s="5">
        <f t="shared" si="31"/>
        <v>-102.43457599999994</v>
      </c>
      <c r="H486" s="5">
        <f t="shared" si="32"/>
        <v>-2.0752547811993507</v>
      </c>
    </row>
    <row r="487" spans="1:8" x14ac:dyDescent="0.25">
      <c r="A487" t="s">
        <v>489</v>
      </c>
      <c r="B487">
        <v>198985.3996</v>
      </c>
      <c r="C487">
        <v>209483.87580000001</v>
      </c>
      <c r="D487">
        <v>5150</v>
      </c>
      <c r="E487" s="5">
        <f t="shared" si="30"/>
        <v>38.637941669902915</v>
      </c>
      <c r="F487" s="5">
        <f t="shared" si="29"/>
        <v>-10498.476200000005</v>
      </c>
      <c r="G487" s="5">
        <f t="shared" si="31"/>
        <v>-104.98476200000005</v>
      </c>
      <c r="H487" s="5">
        <f t="shared" si="32"/>
        <v>-2.0385390679611661</v>
      </c>
    </row>
    <row r="488" spans="1:8" x14ac:dyDescent="0.25">
      <c r="A488" t="s">
        <v>490</v>
      </c>
      <c r="B488">
        <v>385482.87199999997</v>
      </c>
      <c r="C488">
        <v>406252.00760000001</v>
      </c>
      <c r="D488">
        <v>9986</v>
      </c>
      <c r="E488" s="5">
        <f t="shared" si="30"/>
        <v>38.602330462647707</v>
      </c>
      <c r="F488" s="5">
        <f t="shared" si="29"/>
        <v>-20769.135600000038</v>
      </c>
      <c r="G488" s="5">
        <f t="shared" si="31"/>
        <v>-207.69135600000038</v>
      </c>
      <c r="H488" s="5">
        <f t="shared" si="32"/>
        <v>-2.0798253154416222</v>
      </c>
    </row>
    <row r="489" spans="1:8" x14ac:dyDescent="0.25">
      <c r="A489" t="s">
        <v>491</v>
      </c>
      <c r="B489">
        <v>499703.41470000002</v>
      </c>
      <c r="C489">
        <v>526206.93720000004</v>
      </c>
      <c r="D489">
        <v>12937</v>
      </c>
      <c r="E489" s="5">
        <f t="shared" si="30"/>
        <v>38.62591131637938</v>
      </c>
      <c r="F489" s="5">
        <f t="shared" si="29"/>
        <v>-26503.522500000021</v>
      </c>
      <c r="G489" s="5">
        <f t="shared" si="31"/>
        <v>-265.0352250000002</v>
      </c>
      <c r="H489" s="5">
        <f t="shared" si="32"/>
        <v>-2.0486606245652021</v>
      </c>
    </row>
    <row r="490" spans="1:8" x14ac:dyDescent="0.25">
      <c r="A490" t="s">
        <v>492</v>
      </c>
      <c r="B490">
        <v>461667.00390000001</v>
      </c>
      <c r="C490">
        <v>496852.80200000003</v>
      </c>
      <c r="D490">
        <v>12217</v>
      </c>
      <c r="E490" s="5">
        <f t="shared" si="30"/>
        <v>37.788901031349759</v>
      </c>
      <c r="F490" s="5">
        <f t="shared" si="29"/>
        <v>-35185.798100000015</v>
      </c>
      <c r="G490" s="5">
        <f t="shared" si="31"/>
        <v>-351.85798100000017</v>
      </c>
      <c r="H490" s="5">
        <f t="shared" si="32"/>
        <v>-2.8800686011295746</v>
      </c>
    </row>
    <row r="491" spans="1:8" x14ac:dyDescent="0.25">
      <c r="A491" t="s">
        <v>493</v>
      </c>
      <c r="B491">
        <v>259541.60870000001</v>
      </c>
      <c r="C491">
        <v>273280.04639999999</v>
      </c>
      <c r="D491">
        <v>6721</v>
      </c>
      <c r="E491" s="5">
        <f t="shared" si="30"/>
        <v>38.616516693944355</v>
      </c>
      <c r="F491" s="5">
        <f t="shared" si="29"/>
        <v>-13738.43769999998</v>
      </c>
      <c r="G491" s="5">
        <f t="shared" si="31"/>
        <v>-137.3843769999998</v>
      </c>
      <c r="H491" s="5">
        <f t="shared" si="32"/>
        <v>-2.0441061895551229</v>
      </c>
    </row>
    <row r="492" spans="1:8" x14ac:dyDescent="0.25">
      <c r="A492" t="s">
        <v>494</v>
      </c>
      <c r="B492">
        <v>320309.27439999999</v>
      </c>
      <c r="C492">
        <v>336742.60239999997</v>
      </c>
      <c r="D492">
        <v>8283</v>
      </c>
      <c r="E492" s="5">
        <f t="shared" si="30"/>
        <v>38.67068385850537</v>
      </c>
      <c r="F492" s="5">
        <f t="shared" si="29"/>
        <v>-16433.32799999998</v>
      </c>
      <c r="G492" s="5">
        <f t="shared" si="31"/>
        <v>-164.3332799999998</v>
      </c>
      <c r="H492" s="5">
        <f t="shared" si="32"/>
        <v>-1.9839826149945647</v>
      </c>
    </row>
    <row r="493" spans="1:8" x14ac:dyDescent="0.25">
      <c r="A493" t="s">
        <v>495</v>
      </c>
      <c r="B493">
        <v>239922.9982</v>
      </c>
      <c r="C493">
        <v>251700.9664</v>
      </c>
      <c r="D493">
        <v>6191</v>
      </c>
      <c r="E493" s="5">
        <f t="shared" si="30"/>
        <v>38.753512873526084</v>
      </c>
      <c r="F493" s="5">
        <f t="shared" si="29"/>
        <v>-11777.968200000003</v>
      </c>
      <c r="G493" s="5">
        <f t="shared" si="31"/>
        <v>-117.77968200000004</v>
      </c>
      <c r="H493" s="5">
        <f t="shared" si="32"/>
        <v>-1.9024338879017935</v>
      </c>
    </row>
    <row r="494" spans="1:8" x14ac:dyDescent="0.25">
      <c r="A494" t="s">
        <v>496</v>
      </c>
      <c r="B494">
        <v>224994.19510000001</v>
      </c>
      <c r="C494">
        <v>242259.85949999999</v>
      </c>
      <c r="D494">
        <v>5959</v>
      </c>
      <c r="E494" s="5">
        <f t="shared" si="30"/>
        <v>37.75703894948817</v>
      </c>
      <c r="F494" s="5">
        <f t="shared" si="29"/>
        <v>-17265.66439999998</v>
      </c>
      <c r="G494" s="5">
        <f t="shared" si="31"/>
        <v>-172.6566439999998</v>
      </c>
      <c r="H494" s="5">
        <f t="shared" si="32"/>
        <v>-2.8974096996140259</v>
      </c>
    </row>
    <row r="495" spans="1:8" x14ac:dyDescent="0.25">
      <c r="A495" t="s">
        <v>497</v>
      </c>
      <c r="B495">
        <v>117197.97169999999</v>
      </c>
      <c r="C495">
        <v>115769.0863</v>
      </c>
      <c r="D495">
        <v>2848</v>
      </c>
      <c r="E495" s="5">
        <f t="shared" si="30"/>
        <v>41.150973209269658</v>
      </c>
      <c r="F495" s="5">
        <f t="shared" si="29"/>
        <v>1428.8853999999992</v>
      </c>
      <c r="G495" s="5">
        <f t="shared" si="31"/>
        <v>14.288853999999992</v>
      </c>
      <c r="H495" s="5">
        <f t="shared" si="32"/>
        <v>0.50171537921348286</v>
      </c>
    </row>
    <row r="496" spans="1:8" x14ac:dyDescent="0.25">
      <c r="A496" t="s">
        <v>498</v>
      </c>
      <c r="B496">
        <v>330589.1998</v>
      </c>
      <c r="C496">
        <v>355565.0417</v>
      </c>
      <c r="D496">
        <v>8748</v>
      </c>
      <c r="E496" s="5">
        <f t="shared" si="30"/>
        <v>37.790260608139</v>
      </c>
      <c r="F496" s="5">
        <f t="shared" si="29"/>
        <v>-24975.841899999999</v>
      </c>
      <c r="G496" s="5">
        <f t="shared" si="31"/>
        <v>-249.758419</v>
      </c>
      <c r="H496" s="5">
        <f t="shared" si="32"/>
        <v>-2.855034510745313</v>
      </c>
    </row>
    <row r="497" spans="1:8" x14ac:dyDescent="0.25">
      <c r="A497" t="s">
        <v>499</v>
      </c>
      <c r="B497">
        <v>389972.11979999999</v>
      </c>
      <c r="C497">
        <v>419827.13650000002</v>
      </c>
      <c r="D497">
        <v>10329</v>
      </c>
      <c r="E497" s="5">
        <f t="shared" si="30"/>
        <v>37.755070171362185</v>
      </c>
      <c r="F497" s="5">
        <f t="shared" si="29"/>
        <v>-29855.016700000037</v>
      </c>
      <c r="G497" s="5">
        <f t="shared" si="31"/>
        <v>-298.55016700000039</v>
      </c>
      <c r="H497" s="5">
        <f t="shared" si="32"/>
        <v>-2.8904072707909805</v>
      </c>
    </row>
    <row r="498" spans="1:8" x14ac:dyDescent="0.25">
      <c r="A498" t="s">
        <v>500</v>
      </c>
      <c r="B498">
        <v>166536.00030000001</v>
      </c>
      <c r="C498">
        <v>179243.05179999999</v>
      </c>
      <c r="D498">
        <v>4410</v>
      </c>
      <c r="E498" s="5">
        <f t="shared" si="30"/>
        <v>37.763265374149661</v>
      </c>
      <c r="F498" s="5">
        <f t="shared" si="29"/>
        <v>-12707.051499999972</v>
      </c>
      <c r="G498" s="5">
        <f t="shared" si="31"/>
        <v>-127.07051499999972</v>
      </c>
      <c r="H498" s="5">
        <f t="shared" si="32"/>
        <v>-2.8814175736961389</v>
      </c>
    </row>
    <row r="499" spans="1:8" x14ac:dyDescent="0.25">
      <c r="A499" t="s">
        <v>501</v>
      </c>
      <c r="B499">
        <v>198442.91269999999</v>
      </c>
      <c r="C499">
        <v>213676.4284</v>
      </c>
      <c r="D499">
        <v>5257</v>
      </c>
      <c r="E499" s="5">
        <f t="shared" si="30"/>
        <v>37.748318946167011</v>
      </c>
      <c r="F499" s="5">
        <f t="shared" si="29"/>
        <v>-15233.515700000018</v>
      </c>
      <c r="G499" s="5">
        <f t="shared" si="31"/>
        <v>-152.33515700000018</v>
      </c>
      <c r="H499" s="5">
        <f t="shared" si="32"/>
        <v>-2.8977583602815327</v>
      </c>
    </row>
    <row r="500" spans="1:8" x14ac:dyDescent="0.25">
      <c r="A500" t="s">
        <v>502</v>
      </c>
      <c r="B500">
        <v>193182.15059999999</v>
      </c>
      <c r="C500">
        <v>208039.1734</v>
      </c>
      <c r="D500">
        <v>5118</v>
      </c>
      <c r="E500" s="5">
        <f t="shared" si="30"/>
        <v>37.74563317702227</v>
      </c>
      <c r="F500" s="5">
        <f t="shared" si="29"/>
        <v>-14857.022800000006</v>
      </c>
      <c r="G500" s="5">
        <f t="shared" si="31"/>
        <v>-148.57022800000007</v>
      </c>
      <c r="H500" s="5">
        <f t="shared" si="32"/>
        <v>-2.9028962094568205</v>
      </c>
    </row>
    <row r="501" spans="1:8" x14ac:dyDescent="0.25">
      <c r="A501" t="s">
        <v>503</v>
      </c>
      <c r="B501">
        <v>166403.12700000001</v>
      </c>
      <c r="C501">
        <v>179221.5723</v>
      </c>
      <c r="D501">
        <v>4410</v>
      </c>
      <c r="E501" s="5">
        <f t="shared" si="30"/>
        <v>37.733135374149661</v>
      </c>
      <c r="F501" s="5">
        <f t="shared" si="29"/>
        <v>-12818.445299999992</v>
      </c>
      <c r="G501" s="5">
        <f t="shared" si="31"/>
        <v>-128.18445299999993</v>
      </c>
      <c r="H501" s="5">
        <f t="shared" si="32"/>
        <v>-2.9066769387755085</v>
      </c>
    </row>
    <row r="502" spans="1:8" x14ac:dyDescent="0.25">
      <c r="A502" t="s">
        <v>504</v>
      </c>
      <c r="B502">
        <v>149178.60149999999</v>
      </c>
      <c r="C502">
        <v>160620.2071</v>
      </c>
      <c r="D502">
        <v>3952</v>
      </c>
      <c r="E502" s="5">
        <f t="shared" si="30"/>
        <v>37.747621837044534</v>
      </c>
      <c r="F502" s="5">
        <f t="shared" si="29"/>
        <v>-11441.60560000001</v>
      </c>
      <c r="G502" s="5">
        <f t="shared" si="31"/>
        <v>-114.4160560000001</v>
      </c>
      <c r="H502" s="5">
        <f t="shared" si="32"/>
        <v>-2.8951431174089093</v>
      </c>
    </row>
    <row r="503" spans="1:8" x14ac:dyDescent="0.25">
      <c r="A503" t="s">
        <v>505</v>
      </c>
      <c r="B503">
        <v>380592.57760000002</v>
      </c>
      <c r="C503">
        <v>409812.4327</v>
      </c>
      <c r="D503">
        <v>10084</v>
      </c>
      <c r="E503" s="5">
        <f t="shared" si="30"/>
        <v>37.742223086076955</v>
      </c>
      <c r="F503" s="5">
        <f t="shared" si="29"/>
        <v>-29219.855099999986</v>
      </c>
      <c r="G503" s="5">
        <f t="shared" si="31"/>
        <v>-292.19855099999984</v>
      </c>
      <c r="H503" s="5">
        <f t="shared" si="32"/>
        <v>-2.8976452895676306</v>
      </c>
    </row>
    <row r="504" spans="1:8" x14ac:dyDescent="0.25">
      <c r="A504" t="s">
        <v>506</v>
      </c>
      <c r="B504">
        <v>413700.1789</v>
      </c>
      <c r="C504">
        <v>445569.71909999999</v>
      </c>
      <c r="D504">
        <v>10964</v>
      </c>
      <c r="E504" s="5">
        <f t="shared" si="30"/>
        <v>37.732595667639551</v>
      </c>
      <c r="F504" s="5">
        <f t="shared" si="29"/>
        <v>-31869.540199999989</v>
      </c>
      <c r="G504" s="5">
        <f t="shared" si="31"/>
        <v>-318.69540199999989</v>
      </c>
      <c r="H504" s="5">
        <f t="shared" si="32"/>
        <v>-2.9067439073330892</v>
      </c>
    </row>
    <row r="505" spans="1:8" x14ac:dyDescent="0.25">
      <c r="A505" t="s">
        <v>507</v>
      </c>
      <c r="B505">
        <v>177159.67310000001</v>
      </c>
      <c r="C505">
        <v>190811.5779</v>
      </c>
      <c r="D505">
        <v>4695</v>
      </c>
      <c r="E505" s="5">
        <f t="shared" si="30"/>
        <v>37.733689691160812</v>
      </c>
      <c r="F505" s="5">
        <f t="shared" si="29"/>
        <v>-13651.904799999989</v>
      </c>
      <c r="G505" s="5">
        <f t="shared" si="31"/>
        <v>-136.51904799999988</v>
      </c>
      <c r="H505" s="5">
        <f t="shared" si="32"/>
        <v>-2.9077539510117125</v>
      </c>
    </row>
    <row r="506" spans="1:8" x14ac:dyDescent="0.25">
      <c r="A506" t="s">
        <v>508</v>
      </c>
      <c r="B506">
        <v>196420.7635</v>
      </c>
      <c r="C506">
        <v>211510.7861</v>
      </c>
      <c r="D506">
        <v>5205</v>
      </c>
      <c r="E506" s="5">
        <f t="shared" si="30"/>
        <v>37.736938232468781</v>
      </c>
      <c r="F506" s="5">
        <f t="shared" si="29"/>
        <v>-15090.022599999997</v>
      </c>
      <c r="G506" s="5">
        <f t="shared" si="31"/>
        <v>-150.90022599999998</v>
      </c>
      <c r="H506" s="5">
        <f t="shared" si="32"/>
        <v>-2.899139788664745</v>
      </c>
    </row>
    <row r="507" spans="1:8" x14ac:dyDescent="0.25">
      <c r="A507" t="s">
        <v>509</v>
      </c>
      <c r="B507">
        <v>137940.87220000001</v>
      </c>
      <c r="C507">
        <v>147846.05220000001</v>
      </c>
      <c r="D507">
        <v>3638</v>
      </c>
      <c r="E507" s="5">
        <f t="shared" si="30"/>
        <v>37.916677350192415</v>
      </c>
      <c r="F507" s="5">
        <f t="shared" si="29"/>
        <v>-9905.179999999993</v>
      </c>
      <c r="G507" s="5">
        <f t="shared" si="31"/>
        <v>-99.051799999999929</v>
      </c>
      <c r="H507" s="5">
        <f t="shared" si="32"/>
        <v>-2.7226992853216032</v>
      </c>
    </row>
    <row r="508" spans="1:8" x14ac:dyDescent="0.25">
      <c r="A508" t="s">
        <v>510</v>
      </c>
      <c r="B508">
        <v>166176.2838</v>
      </c>
      <c r="C508">
        <v>178568.18049999999</v>
      </c>
      <c r="D508">
        <v>4394</v>
      </c>
      <c r="E508" s="5">
        <f t="shared" si="30"/>
        <v>37.818908466090122</v>
      </c>
      <c r="F508" s="5">
        <f t="shared" si="29"/>
        <v>-12391.896699999983</v>
      </c>
      <c r="G508" s="5">
        <f t="shared" si="31"/>
        <v>-123.91896699999982</v>
      </c>
      <c r="H508" s="5">
        <f t="shared" si="32"/>
        <v>-2.8201858670914843</v>
      </c>
    </row>
    <row r="509" spans="1:8" x14ac:dyDescent="0.25">
      <c r="A509" t="s">
        <v>511</v>
      </c>
      <c r="B509">
        <v>84604.377569999997</v>
      </c>
      <c r="C509">
        <v>81763.267389999994</v>
      </c>
      <c r="D509">
        <v>2012</v>
      </c>
      <c r="E509" s="5">
        <f t="shared" si="30"/>
        <v>42.04988944831014</v>
      </c>
      <c r="F509" s="5">
        <f t="shared" si="29"/>
        <v>2841.1101800000033</v>
      </c>
      <c r="G509" s="5">
        <f t="shared" si="31"/>
        <v>28.411101800000033</v>
      </c>
      <c r="H509" s="5">
        <f t="shared" si="32"/>
        <v>1.4120825944334012</v>
      </c>
    </row>
    <row r="510" spans="1:8" x14ac:dyDescent="0.25">
      <c r="A510" t="s">
        <v>512</v>
      </c>
      <c r="B510">
        <v>321821.02029999997</v>
      </c>
      <c r="C510">
        <v>346487.52029999997</v>
      </c>
      <c r="D510">
        <v>8526</v>
      </c>
      <c r="E510" s="5">
        <f t="shared" si="30"/>
        <v>37.745838646493077</v>
      </c>
      <c r="F510" s="5">
        <f t="shared" si="29"/>
        <v>-24666.5</v>
      </c>
      <c r="G510" s="5">
        <f t="shared" si="31"/>
        <v>-246.66499999999999</v>
      </c>
      <c r="H510" s="5">
        <f t="shared" si="32"/>
        <v>-2.8930917194463994</v>
      </c>
    </row>
    <row r="511" spans="1:8" x14ac:dyDescent="0.25">
      <c r="A511" t="s">
        <v>513</v>
      </c>
      <c r="B511">
        <v>418715.4106</v>
      </c>
      <c r="C511">
        <v>450936.27929999999</v>
      </c>
      <c r="D511">
        <v>11096</v>
      </c>
      <c r="E511" s="5">
        <f t="shared" si="30"/>
        <v>37.735707516222064</v>
      </c>
      <c r="F511" s="5">
        <f t="shared" ref="F511:F522" si="33" xml:space="preserve"> B511-C511</f>
        <v>-32220.868699999992</v>
      </c>
      <c r="G511" s="5">
        <f t="shared" si="31"/>
        <v>-322.20868699999994</v>
      </c>
      <c r="H511" s="5">
        <f t="shared" si="32"/>
        <v>-2.9038273882480166</v>
      </c>
    </row>
    <row r="512" spans="1:8" x14ac:dyDescent="0.25">
      <c r="A512" t="s">
        <v>514</v>
      </c>
      <c r="B512">
        <v>169541.2659</v>
      </c>
      <c r="C512">
        <v>182419.14139999999</v>
      </c>
      <c r="D512">
        <v>4489</v>
      </c>
      <c r="E512" s="5">
        <f t="shared" si="30"/>
        <v>37.768159033192248</v>
      </c>
      <c r="F512" s="5">
        <f t="shared" si="33"/>
        <v>-12877.875499999995</v>
      </c>
      <c r="G512" s="5">
        <f t="shared" si="31"/>
        <v>-128.77875499999993</v>
      </c>
      <c r="H512" s="5">
        <f t="shared" si="32"/>
        <v>-2.8687626420138104</v>
      </c>
    </row>
    <row r="513" spans="1:8" x14ac:dyDescent="0.25">
      <c r="A513" t="s">
        <v>515</v>
      </c>
      <c r="B513">
        <v>256434.5099</v>
      </c>
      <c r="C513">
        <v>276173.79249999998</v>
      </c>
      <c r="D513">
        <v>6795</v>
      </c>
      <c r="E513" s="5">
        <f t="shared" si="30"/>
        <v>37.738706387049305</v>
      </c>
      <c r="F513" s="5">
        <f t="shared" si="33"/>
        <v>-19739.282599999977</v>
      </c>
      <c r="G513" s="5">
        <f t="shared" si="31"/>
        <v>-197.39282599999976</v>
      </c>
      <c r="H513" s="5">
        <f t="shared" si="32"/>
        <v>-2.9049716850625424</v>
      </c>
    </row>
    <row r="514" spans="1:8" x14ac:dyDescent="0.25">
      <c r="A514" t="s">
        <v>516</v>
      </c>
      <c r="B514">
        <v>199385.9124</v>
      </c>
      <c r="C514">
        <v>214719.75279999999</v>
      </c>
      <c r="D514">
        <v>5283</v>
      </c>
      <c r="E514" s="5">
        <f t="shared" si="30"/>
        <v>37.741039636570129</v>
      </c>
      <c r="F514" s="5">
        <f t="shared" si="33"/>
        <v>-15333.840399999986</v>
      </c>
      <c r="G514" s="5">
        <f t="shared" si="31"/>
        <v>-153.33840399999985</v>
      </c>
      <c r="H514" s="5">
        <f t="shared" si="32"/>
        <v>-2.9024872988832078</v>
      </c>
    </row>
    <row r="515" spans="1:8" x14ac:dyDescent="0.25">
      <c r="A515" t="s">
        <v>517</v>
      </c>
      <c r="B515">
        <v>243554.2243</v>
      </c>
      <c r="C515">
        <v>262251.08010000002</v>
      </c>
      <c r="D515">
        <v>6453</v>
      </c>
      <c r="E515" s="5">
        <f t="shared" ref="E515:E578" si="34">B515/D515</f>
        <v>37.742790066635671</v>
      </c>
      <c r="F515" s="5">
        <f t="shared" si="33"/>
        <v>-18696.855800000019</v>
      </c>
      <c r="G515" s="5">
        <f t="shared" ref="G515:G578" si="35">F515/100</f>
        <v>-186.9685580000002</v>
      </c>
      <c r="H515" s="5">
        <f t="shared" ref="H515:H578" si="36">F515/D515</f>
        <v>-2.8973897102123072</v>
      </c>
    </row>
    <row r="516" spans="1:8" x14ac:dyDescent="0.25">
      <c r="A516" t="s">
        <v>518</v>
      </c>
      <c r="B516">
        <v>217746.0129</v>
      </c>
      <c r="C516">
        <v>234483.41699999999</v>
      </c>
      <c r="D516">
        <v>5770</v>
      </c>
      <c r="E516" s="5">
        <f t="shared" si="34"/>
        <v>37.73761055459272</v>
      </c>
      <c r="F516" s="5">
        <f t="shared" si="33"/>
        <v>-16737.404099999985</v>
      </c>
      <c r="G516" s="5">
        <f t="shared" si="35"/>
        <v>-167.37404099999986</v>
      </c>
      <c r="H516" s="5">
        <f t="shared" si="36"/>
        <v>-2.9007632755632557</v>
      </c>
    </row>
    <row r="517" spans="1:8" x14ac:dyDescent="0.25">
      <c r="A517" t="s">
        <v>519</v>
      </c>
      <c r="B517">
        <v>472160.75209999998</v>
      </c>
      <c r="C517">
        <v>508265.147</v>
      </c>
      <c r="D517">
        <v>12507</v>
      </c>
      <c r="E517" s="5">
        <f t="shared" si="34"/>
        <v>37.75171920524506</v>
      </c>
      <c r="F517" s="5">
        <f t="shared" si="33"/>
        <v>-36104.394900000014</v>
      </c>
      <c r="G517" s="5">
        <f t="shared" si="35"/>
        <v>-361.04394900000011</v>
      </c>
      <c r="H517" s="5">
        <f t="shared" si="36"/>
        <v>-2.8867350203885835</v>
      </c>
    </row>
    <row r="518" spans="1:8" x14ac:dyDescent="0.25">
      <c r="A518" t="s">
        <v>520</v>
      </c>
      <c r="B518">
        <v>546135.46239999996</v>
      </c>
      <c r="C518">
        <v>588250.18119999999</v>
      </c>
      <c r="D518">
        <v>14475</v>
      </c>
      <c r="E518" s="5">
        <f t="shared" si="34"/>
        <v>37.729565623488774</v>
      </c>
      <c r="F518" s="5">
        <f t="shared" si="33"/>
        <v>-42114.718800000031</v>
      </c>
      <c r="G518" s="5">
        <f t="shared" si="35"/>
        <v>-421.14718800000031</v>
      </c>
      <c r="H518" s="5">
        <f t="shared" si="36"/>
        <v>-2.9094797098445619</v>
      </c>
    </row>
    <row r="519" spans="1:8" x14ac:dyDescent="0.25">
      <c r="A519" t="s">
        <v>521</v>
      </c>
      <c r="B519">
        <v>264637.3653</v>
      </c>
      <c r="C519">
        <v>284828.65970000002</v>
      </c>
      <c r="D519">
        <v>7009</v>
      </c>
      <c r="E519" s="5">
        <f t="shared" si="34"/>
        <v>37.756793451276927</v>
      </c>
      <c r="F519" s="5">
        <f t="shared" si="33"/>
        <v>-20191.294400000013</v>
      </c>
      <c r="G519" s="5">
        <f t="shared" si="35"/>
        <v>-201.91294400000012</v>
      </c>
      <c r="H519" s="5">
        <f t="shared" si="36"/>
        <v>-2.880766785561423</v>
      </c>
    </row>
    <row r="520" spans="1:8" x14ac:dyDescent="0.25">
      <c r="A520" t="s">
        <v>522</v>
      </c>
      <c r="B520">
        <v>440905.9987</v>
      </c>
      <c r="C520">
        <v>474967.32760000002</v>
      </c>
      <c r="D520">
        <v>11688</v>
      </c>
      <c r="E520" s="5">
        <f t="shared" si="34"/>
        <v>37.722963612251881</v>
      </c>
      <c r="F520" s="5">
        <f t="shared" si="33"/>
        <v>-34061.328900000022</v>
      </c>
      <c r="G520" s="5">
        <f t="shared" si="35"/>
        <v>-340.61328900000024</v>
      </c>
      <c r="H520" s="5">
        <f t="shared" si="36"/>
        <v>-2.9142136293634517</v>
      </c>
    </row>
    <row r="521" spans="1:8" x14ac:dyDescent="0.25">
      <c r="A521" t="s">
        <v>523</v>
      </c>
      <c r="B521">
        <v>334318.89779999998</v>
      </c>
      <c r="C521">
        <v>360168.82709999999</v>
      </c>
      <c r="D521">
        <v>8863</v>
      </c>
      <c r="E521" s="5">
        <f t="shared" si="34"/>
        <v>37.720737650908269</v>
      </c>
      <c r="F521" s="5">
        <f t="shared" si="33"/>
        <v>-25849.929300000018</v>
      </c>
      <c r="G521" s="5">
        <f t="shared" si="35"/>
        <v>-258.49929300000019</v>
      </c>
      <c r="H521" s="5">
        <f t="shared" si="36"/>
        <v>-2.9166116777614826</v>
      </c>
    </row>
    <row r="522" spans="1:8" x14ac:dyDescent="0.25">
      <c r="A522" t="s">
        <v>524</v>
      </c>
      <c r="B522">
        <v>269835.82860000001</v>
      </c>
      <c r="C522">
        <v>290492.10629999998</v>
      </c>
      <c r="D522">
        <v>7148</v>
      </c>
      <c r="E522" s="5">
        <f t="shared" si="34"/>
        <v>37.749836121992168</v>
      </c>
      <c r="F522" s="5">
        <f t="shared" si="33"/>
        <v>-20656.277699999977</v>
      </c>
      <c r="G522" s="5">
        <f t="shared" si="35"/>
        <v>-206.56277699999976</v>
      </c>
      <c r="H522" s="5">
        <f t="shared" si="36"/>
        <v>-2.8897982232792359</v>
      </c>
    </row>
    <row r="523" spans="1:8" x14ac:dyDescent="0.25">
      <c r="A523" t="s">
        <v>525</v>
      </c>
      <c r="B523">
        <v>201146.48929999999</v>
      </c>
      <c r="C523">
        <v>216428.50039999999</v>
      </c>
      <c r="D523">
        <v>5326</v>
      </c>
      <c r="E523" s="5">
        <f t="shared" si="34"/>
        <v>37.76689622606083</v>
      </c>
      <c r="F523" s="5">
        <f xml:space="preserve"> B523-C523</f>
        <v>-15282.011100000003</v>
      </c>
      <c r="G523" s="5">
        <f t="shared" si="35"/>
        <v>-152.82011100000003</v>
      </c>
      <c r="H523" s="5">
        <f t="shared" si="36"/>
        <v>-2.8693223995493811</v>
      </c>
    </row>
    <row r="524" spans="1:8" x14ac:dyDescent="0.25">
      <c r="A524" t="s">
        <v>526</v>
      </c>
      <c r="B524">
        <v>293461.08390000003</v>
      </c>
      <c r="C524">
        <v>315937.86219999997</v>
      </c>
      <c r="D524">
        <v>7775</v>
      </c>
      <c r="E524" s="5">
        <f t="shared" si="34"/>
        <v>37.744190855305469</v>
      </c>
      <c r="F524" s="5">
        <f t="shared" ref="F524:F587" si="37" xml:space="preserve"> B524-C524</f>
        <v>-22476.778299999947</v>
      </c>
      <c r="G524" s="5">
        <f t="shared" si="35"/>
        <v>-224.76778299999947</v>
      </c>
      <c r="H524" s="5">
        <f t="shared" si="36"/>
        <v>-2.890903961414784</v>
      </c>
    </row>
    <row r="525" spans="1:8" x14ac:dyDescent="0.25">
      <c r="A525" t="s">
        <v>527</v>
      </c>
      <c r="B525">
        <v>349413.0098</v>
      </c>
      <c r="C525">
        <v>376094.7218</v>
      </c>
      <c r="D525">
        <v>9255</v>
      </c>
      <c r="E525" s="5">
        <f t="shared" si="34"/>
        <v>37.753971885467315</v>
      </c>
      <c r="F525" s="5">
        <f t="shared" si="37"/>
        <v>-26681.712</v>
      </c>
      <c r="G525" s="5">
        <f t="shared" si="35"/>
        <v>-266.81711999999999</v>
      </c>
      <c r="H525" s="5">
        <f t="shared" si="36"/>
        <v>-2.8829510534846028</v>
      </c>
    </row>
    <row r="526" spans="1:8" x14ac:dyDescent="0.25">
      <c r="A526" t="s">
        <v>528</v>
      </c>
      <c r="B526">
        <v>179602.91519999999</v>
      </c>
      <c r="C526">
        <v>193348.5914</v>
      </c>
      <c r="D526">
        <v>4758</v>
      </c>
      <c r="E526" s="5">
        <f t="shared" si="34"/>
        <v>37.747565195460275</v>
      </c>
      <c r="F526" s="5">
        <f t="shared" si="37"/>
        <v>-13745.676200000016</v>
      </c>
      <c r="G526" s="5">
        <f t="shared" si="35"/>
        <v>-137.45676200000017</v>
      </c>
      <c r="H526" s="5">
        <f t="shared" si="36"/>
        <v>-2.8889609499789861</v>
      </c>
    </row>
    <row r="527" spans="1:8" x14ac:dyDescent="0.25">
      <c r="A527" t="s">
        <v>529</v>
      </c>
      <c r="B527">
        <v>109810.5457</v>
      </c>
      <c r="C527">
        <v>106166.0816</v>
      </c>
      <c r="D527">
        <v>2613</v>
      </c>
      <c r="E527" s="5">
        <f t="shared" si="34"/>
        <v>42.024701760428627</v>
      </c>
      <c r="F527" s="5">
        <f t="shared" si="37"/>
        <v>3644.4640999999974</v>
      </c>
      <c r="G527" s="5">
        <f t="shared" si="35"/>
        <v>36.444640999999976</v>
      </c>
      <c r="H527" s="5">
        <f t="shared" si="36"/>
        <v>1.3947432453119011</v>
      </c>
    </row>
    <row r="528" spans="1:8" x14ac:dyDescent="0.25">
      <c r="A528" t="s">
        <v>530</v>
      </c>
      <c r="B528">
        <v>76956.92035</v>
      </c>
      <c r="C528">
        <v>74212.790569999997</v>
      </c>
      <c r="D528">
        <v>1830</v>
      </c>
      <c r="E528" s="5">
        <f t="shared" si="34"/>
        <v>42.052961939890707</v>
      </c>
      <c r="F528" s="5">
        <f t="shared" si="37"/>
        <v>2744.1297800000029</v>
      </c>
      <c r="G528" s="5">
        <f t="shared" si="35"/>
        <v>27.441297800000029</v>
      </c>
      <c r="H528" s="5">
        <f t="shared" si="36"/>
        <v>1.4995244699453567</v>
      </c>
    </row>
    <row r="529" spans="1:8" x14ac:dyDescent="0.25">
      <c r="A529" t="s">
        <v>531</v>
      </c>
      <c r="B529">
        <v>71199.588399999993</v>
      </c>
      <c r="C529">
        <v>68669.394960000005</v>
      </c>
      <c r="D529">
        <v>1694</v>
      </c>
      <c r="E529" s="5">
        <f t="shared" si="34"/>
        <v>42.030453600944504</v>
      </c>
      <c r="F529" s="5">
        <f t="shared" si="37"/>
        <v>2530.1934399999882</v>
      </c>
      <c r="G529" s="5">
        <f t="shared" si="35"/>
        <v>25.301934399999883</v>
      </c>
      <c r="H529" s="5">
        <f t="shared" si="36"/>
        <v>1.4936206847697686</v>
      </c>
    </row>
    <row r="530" spans="1:8" x14ac:dyDescent="0.25">
      <c r="A530" t="s">
        <v>532</v>
      </c>
      <c r="B530">
        <v>68988.346669999999</v>
      </c>
      <c r="C530">
        <v>66539.165200000003</v>
      </c>
      <c r="D530">
        <v>1642</v>
      </c>
      <c r="E530" s="5">
        <f t="shared" si="34"/>
        <v>42.014827448233859</v>
      </c>
      <c r="F530" s="5">
        <f t="shared" si="37"/>
        <v>2449.1814699999959</v>
      </c>
      <c r="G530" s="5">
        <f t="shared" si="35"/>
        <v>24.49181469999996</v>
      </c>
      <c r="H530" s="5">
        <f t="shared" si="36"/>
        <v>1.4915843300852594</v>
      </c>
    </row>
    <row r="531" spans="1:8" x14ac:dyDescent="0.25">
      <c r="A531" t="s">
        <v>533</v>
      </c>
      <c r="B531">
        <v>155156.8792</v>
      </c>
      <c r="C531">
        <v>149423.24359999999</v>
      </c>
      <c r="D531">
        <v>3690</v>
      </c>
      <c r="E531" s="5">
        <f t="shared" si="34"/>
        <v>42.047934742547426</v>
      </c>
      <c r="F531" s="5">
        <f t="shared" si="37"/>
        <v>5733.6356000000087</v>
      </c>
      <c r="G531" s="5">
        <f t="shared" si="35"/>
        <v>57.336356000000087</v>
      </c>
      <c r="H531" s="5">
        <f t="shared" si="36"/>
        <v>1.5538307859078615</v>
      </c>
    </row>
    <row r="532" spans="1:8" x14ac:dyDescent="0.25">
      <c r="A532" t="s">
        <v>534</v>
      </c>
      <c r="B532">
        <v>185109.52309999999</v>
      </c>
      <c r="C532">
        <v>178347.3694</v>
      </c>
      <c r="D532">
        <v>4404</v>
      </c>
      <c r="E532" s="5">
        <f t="shared" si="34"/>
        <v>42.032135127157126</v>
      </c>
      <c r="F532" s="5">
        <f t="shared" si="37"/>
        <v>6762.1536999999953</v>
      </c>
      <c r="G532" s="5">
        <f t="shared" si="35"/>
        <v>67.621536999999947</v>
      </c>
      <c r="H532" s="5">
        <f t="shared" si="36"/>
        <v>1.5354572434150762</v>
      </c>
    </row>
    <row r="533" spans="1:8" x14ac:dyDescent="0.25">
      <c r="A533" t="s">
        <v>535</v>
      </c>
      <c r="B533">
        <v>83779.544009999998</v>
      </c>
      <c r="C533">
        <v>80659.821809999994</v>
      </c>
      <c r="D533">
        <v>1992</v>
      </c>
      <c r="E533" s="5">
        <f t="shared" si="34"/>
        <v>42.058004021084336</v>
      </c>
      <c r="F533" s="5">
        <f t="shared" si="37"/>
        <v>3119.7222000000038</v>
      </c>
      <c r="G533" s="5">
        <f t="shared" si="35"/>
        <v>31.197222000000039</v>
      </c>
      <c r="H533" s="5">
        <f t="shared" si="36"/>
        <v>1.5661256024096404</v>
      </c>
    </row>
    <row r="534" spans="1:8" x14ac:dyDescent="0.25">
      <c r="A534" t="s">
        <v>536</v>
      </c>
      <c r="B534">
        <v>149501.57449999999</v>
      </c>
      <c r="C534">
        <v>143962.8719</v>
      </c>
      <c r="D534">
        <v>3557</v>
      </c>
      <c r="E534" s="5">
        <f t="shared" si="34"/>
        <v>42.030243041889229</v>
      </c>
      <c r="F534" s="5">
        <f t="shared" si="37"/>
        <v>5538.7025999999896</v>
      </c>
      <c r="G534" s="5">
        <f t="shared" si="35"/>
        <v>55.387025999999899</v>
      </c>
      <c r="H534" s="5">
        <f t="shared" si="36"/>
        <v>1.5571275231936996</v>
      </c>
    </row>
    <row r="535" spans="1:8" x14ac:dyDescent="0.25">
      <c r="A535" t="s">
        <v>537</v>
      </c>
      <c r="B535">
        <v>100477.2968</v>
      </c>
      <c r="C535">
        <v>96810.103579999995</v>
      </c>
      <c r="D535">
        <v>2395</v>
      </c>
      <c r="E535" s="5">
        <f t="shared" si="34"/>
        <v>41.952942296450935</v>
      </c>
      <c r="F535" s="5">
        <f t="shared" si="37"/>
        <v>3667.193220000001</v>
      </c>
      <c r="G535" s="5">
        <f t="shared" si="35"/>
        <v>36.671932200000008</v>
      </c>
      <c r="H535" s="5">
        <f t="shared" si="36"/>
        <v>1.5311871482254702</v>
      </c>
    </row>
    <row r="536" spans="1:8" x14ac:dyDescent="0.25">
      <c r="A536" t="s">
        <v>538</v>
      </c>
      <c r="B536">
        <v>89072.705350000004</v>
      </c>
      <c r="C536">
        <v>85639.307750000007</v>
      </c>
      <c r="D536">
        <v>2120</v>
      </c>
      <c r="E536" s="5">
        <f t="shared" si="34"/>
        <v>42.015427051886796</v>
      </c>
      <c r="F536" s="5">
        <f t="shared" si="37"/>
        <v>3433.3975999999966</v>
      </c>
      <c r="G536" s="5">
        <f t="shared" si="35"/>
        <v>34.333975999999964</v>
      </c>
      <c r="H536" s="5">
        <f t="shared" si="36"/>
        <v>1.6195271698113192</v>
      </c>
    </row>
    <row r="537" spans="1:8" x14ac:dyDescent="0.25">
      <c r="A537" t="s">
        <v>539</v>
      </c>
      <c r="B537">
        <v>78746.595860000001</v>
      </c>
      <c r="C537">
        <v>75673.781990000003</v>
      </c>
      <c r="D537">
        <v>1875</v>
      </c>
      <c r="E537" s="5">
        <f t="shared" si="34"/>
        <v>41.998184458666664</v>
      </c>
      <c r="F537" s="5">
        <f t="shared" si="37"/>
        <v>3072.8138699999981</v>
      </c>
      <c r="G537" s="5">
        <f t="shared" si="35"/>
        <v>30.728138699999981</v>
      </c>
      <c r="H537" s="5">
        <f t="shared" si="36"/>
        <v>1.638834063999999</v>
      </c>
    </row>
    <row r="538" spans="1:8" x14ac:dyDescent="0.25">
      <c r="A538" t="s">
        <v>540</v>
      </c>
      <c r="B538">
        <v>141913.3824</v>
      </c>
      <c r="C538">
        <v>136017.75039999999</v>
      </c>
      <c r="D538">
        <v>3376</v>
      </c>
      <c r="E538" s="5">
        <f t="shared" si="34"/>
        <v>42.03595450236967</v>
      </c>
      <c r="F538" s="5">
        <f t="shared" si="37"/>
        <v>5895.6320000000123</v>
      </c>
      <c r="G538" s="5">
        <f t="shared" si="35"/>
        <v>58.956320000000126</v>
      </c>
      <c r="H538" s="5">
        <f t="shared" si="36"/>
        <v>1.746336492890999</v>
      </c>
    </row>
    <row r="539" spans="1:8" x14ac:dyDescent="0.25">
      <c r="A539" t="s">
        <v>541</v>
      </c>
      <c r="B539">
        <v>169304.27830000001</v>
      </c>
      <c r="C539">
        <v>162287.90919999999</v>
      </c>
      <c r="D539">
        <v>4027</v>
      </c>
      <c r="E539" s="5">
        <f t="shared" si="34"/>
        <v>42.042284156940653</v>
      </c>
      <c r="F539" s="5">
        <f t="shared" si="37"/>
        <v>7016.3691000000108</v>
      </c>
      <c r="G539" s="5">
        <f t="shared" si="35"/>
        <v>70.163691000000114</v>
      </c>
      <c r="H539" s="5">
        <f t="shared" si="36"/>
        <v>1.742331537124413</v>
      </c>
    </row>
    <row r="540" spans="1:8" x14ac:dyDescent="0.25">
      <c r="A540" t="s">
        <v>542</v>
      </c>
      <c r="B540">
        <v>89512.242840000006</v>
      </c>
      <c r="C540">
        <v>85781.807029999996</v>
      </c>
      <c r="D540">
        <v>2128</v>
      </c>
      <c r="E540" s="5">
        <f t="shared" si="34"/>
        <v>42.064023890977445</v>
      </c>
      <c r="F540" s="5">
        <f t="shared" si="37"/>
        <v>3730.43581000001</v>
      </c>
      <c r="G540" s="5">
        <f t="shared" si="35"/>
        <v>37.304358100000101</v>
      </c>
      <c r="H540" s="5">
        <f t="shared" si="36"/>
        <v>1.7530243468045159</v>
      </c>
    </row>
    <row r="541" spans="1:8" x14ac:dyDescent="0.25">
      <c r="A541" t="s">
        <v>543</v>
      </c>
      <c r="B541">
        <v>85984.075339999996</v>
      </c>
      <c r="C541">
        <v>82427.231539999993</v>
      </c>
      <c r="D541">
        <v>2046</v>
      </c>
      <c r="E541" s="5">
        <f t="shared" si="34"/>
        <v>42.025452267839682</v>
      </c>
      <c r="F541" s="5">
        <f t="shared" si="37"/>
        <v>3556.8438000000024</v>
      </c>
      <c r="G541" s="5">
        <f t="shared" si="35"/>
        <v>35.568438000000022</v>
      </c>
      <c r="H541" s="5">
        <f t="shared" si="36"/>
        <v>1.7384378299120247</v>
      </c>
    </row>
    <row r="542" spans="1:8" x14ac:dyDescent="0.25">
      <c r="A542" t="s">
        <v>544</v>
      </c>
      <c r="B542">
        <v>64956.462079999998</v>
      </c>
      <c r="C542">
        <v>62169.777119999999</v>
      </c>
      <c r="D542">
        <v>1546</v>
      </c>
      <c r="E542" s="5">
        <f t="shared" si="34"/>
        <v>42.015822820181114</v>
      </c>
      <c r="F542" s="5">
        <f t="shared" si="37"/>
        <v>2786.6849599999987</v>
      </c>
      <c r="G542" s="5">
        <f t="shared" si="35"/>
        <v>27.866849599999988</v>
      </c>
      <c r="H542" s="5">
        <f t="shared" si="36"/>
        <v>1.8025129107373858</v>
      </c>
    </row>
    <row r="543" spans="1:8" x14ac:dyDescent="0.25">
      <c r="A543" t="s">
        <v>545</v>
      </c>
      <c r="B543">
        <v>106613.4328</v>
      </c>
      <c r="C543">
        <v>113428.4743</v>
      </c>
      <c r="D543">
        <v>2822</v>
      </c>
      <c r="E543" s="5">
        <f t="shared" si="34"/>
        <v>37.77938795180723</v>
      </c>
      <c r="F543" s="5">
        <f t="shared" si="37"/>
        <v>-6815.0415000000066</v>
      </c>
      <c r="G543" s="5">
        <f t="shared" si="35"/>
        <v>-68.150415000000066</v>
      </c>
      <c r="H543" s="5">
        <f t="shared" si="36"/>
        <v>-2.4149686392629364</v>
      </c>
    </row>
    <row r="544" spans="1:8" x14ac:dyDescent="0.25">
      <c r="A544" t="s">
        <v>546</v>
      </c>
      <c r="B544">
        <v>183843.8173</v>
      </c>
      <c r="C544">
        <v>195365.73069999999</v>
      </c>
      <c r="D544">
        <v>4865</v>
      </c>
      <c r="E544" s="5">
        <f t="shared" si="34"/>
        <v>37.789068304213771</v>
      </c>
      <c r="F544" s="5">
        <f t="shared" si="37"/>
        <v>-11521.91339999999</v>
      </c>
      <c r="G544" s="5">
        <f t="shared" si="35"/>
        <v>-115.2191339999999</v>
      </c>
      <c r="H544" s="5">
        <f t="shared" si="36"/>
        <v>-2.3683275231243557</v>
      </c>
    </row>
    <row r="545" spans="1:8" x14ac:dyDescent="0.25">
      <c r="A545" t="s">
        <v>547</v>
      </c>
      <c r="B545">
        <v>319579.7941</v>
      </c>
      <c r="C545">
        <v>339241.69179999997</v>
      </c>
      <c r="D545">
        <v>8450</v>
      </c>
      <c r="E545" s="5">
        <f t="shared" si="34"/>
        <v>37.820093976331364</v>
      </c>
      <c r="F545" s="5">
        <f t="shared" si="37"/>
        <v>-19661.897699999972</v>
      </c>
      <c r="G545" s="5">
        <f t="shared" si="35"/>
        <v>-196.61897699999972</v>
      </c>
      <c r="H545" s="5">
        <f t="shared" si="36"/>
        <v>-2.3268517988165649</v>
      </c>
    </row>
    <row r="546" spans="1:8" x14ac:dyDescent="0.25">
      <c r="A546" t="s">
        <v>548</v>
      </c>
      <c r="B546">
        <v>369245.75870000001</v>
      </c>
      <c r="C546">
        <v>392017.97350000002</v>
      </c>
      <c r="D546">
        <v>9770</v>
      </c>
      <c r="E546" s="5">
        <f t="shared" si="34"/>
        <v>37.79383405322416</v>
      </c>
      <c r="F546" s="5">
        <f t="shared" si="37"/>
        <v>-22772.214800000016</v>
      </c>
      <c r="G546" s="5">
        <f t="shared" si="35"/>
        <v>-227.72214800000017</v>
      </c>
      <c r="H546" s="5">
        <f t="shared" si="36"/>
        <v>-2.33083058341863</v>
      </c>
    </row>
    <row r="547" spans="1:8" x14ac:dyDescent="0.25">
      <c r="A547" t="s">
        <v>549</v>
      </c>
      <c r="B547">
        <v>185648.49110000001</v>
      </c>
      <c r="C547">
        <v>197095.10870000001</v>
      </c>
      <c r="D547">
        <v>4914</v>
      </c>
      <c r="E547" s="5">
        <f t="shared" si="34"/>
        <v>37.779505718355722</v>
      </c>
      <c r="F547" s="5">
        <f t="shared" si="37"/>
        <v>-11446.617599999998</v>
      </c>
      <c r="G547" s="5">
        <f t="shared" si="35"/>
        <v>-114.46617599999998</v>
      </c>
      <c r="H547" s="5">
        <f t="shared" si="36"/>
        <v>-2.3293890109890105</v>
      </c>
    </row>
    <row r="548" spans="1:8" x14ac:dyDescent="0.25">
      <c r="A548" t="s">
        <v>550</v>
      </c>
      <c r="B548">
        <v>165557.76180000001</v>
      </c>
      <c r="C548">
        <v>175871.1109</v>
      </c>
      <c r="D548">
        <v>4385</v>
      </c>
      <c r="E548" s="5">
        <f t="shared" si="34"/>
        <v>37.755475895096922</v>
      </c>
      <c r="F548" s="5">
        <f t="shared" si="37"/>
        <v>-10313.349099999992</v>
      </c>
      <c r="G548" s="5">
        <f t="shared" si="35"/>
        <v>-103.13349099999992</v>
      </c>
      <c r="H548" s="5">
        <f t="shared" si="36"/>
        <v>-2.351961026225768</v>
      </c>
    </row>
    <row r="549" spans="1:8" x14ac:dyDescent="0.25">
      <c r="A549" t="s">
        <v>551</v>
      </c>
      <c r="B549">
        <v>212465.08319999999</v>
      </c>
      <c r="C549">
        <v>225678.9345</v>
      </c>
      <c r="D549">
        <v>5627</v>
      </c>
      <c r="E549" s="5">
        <f t="shared" si="34"/>
        <v>37.758145228363247</v>
      </c>
      <c r="F549" s="5">
        <f t="shared" si="37"/>
        <v>-13213.851300000009</v>
      </c>
      <c r="G549" s="5">
        <f t="shared" si="35"/>
        <v>-132.1385130000001</v>
      </c>
      <c r="H549" s="5">
        <f t="shared" si="36"/>
        <v>-2.3482941709614376</v>
      </c>
    </row>
    <row r="550" spans="1:8" x14ac:dyDescent="0.25">
      <c r="A550" t="s">
        <v>552</v>
      </c>
      <c r="B550">
        <v>305231.9081</v>
      </c>
      <c r="C550">
        <v>324248.84149999998</v>
      </c>
      <c r="D550">
        <v>8086</v>
      </c>
      <c r="E550" s="5">
        <f t="shared" si="34"/>
        <v>37.748195411822905</v>
      </c>
      <c r="F550" s="5">
        <f t="shared" si="37"/>
        <v>-19016.93339999998</v>
      </c>
      <c r="G550" s="5">
        <f t="shared" si="35"/>
        <v>-190.16933399999979</v>
      </c>
      <c r="H550" s="5">
        <f t="shared" si="36"/>
        <v>-2.3518344546129089</v>
      </c>
    </row>
    <row r="551" spans="1:8" x14ac:dyDescent="0.25">
      <c r="A551" t="s">
        <v>553</v>
      </c>
      <c r="B551">
        <v>250481.6177</v>
      </c>
      <c r="C551">
        <v>266061.92839999998</v>
      </c>
      <c r="D551">
        <v>6639</v>
      </c>
      <c r="E551" s="5">
        <f t="shared" si="34"/>
        <v>37.728817246573279</v>
      </c>
      <c r="F551" s="5">
        <f t="shared" si="37"/>
        <v>-15580.310699999973</v>
      </c>
      <c r="G551" s="5">
        <f t="shared" si="35"/>
        <v>-155.80310699999973</v>
      </c>
      <c r="H551" s="5">
        <f t="shared" si="36"/>
        <v>-2.3467857659285998</v>
      </c>
    </row>
    <row r="552" spans="1:8" x14ac:dyDescent="0.25">
      <c r="A552" t="s">
        <v>554</v>
      </c>
      <c r="B552">
        <v>268410.48070000001</v>
      </c>
      <c r="C552">
        <v>284592.99469999998</v>
      </c>
      <c r="D552">
        <v>7104</v>
      </c>
      <c r="E552" s="5">
        <f t="shared" si="34"/>
        <v>37.783006855292797</v>
      </c>
      <c r="F552" s="5">
        <f t="shared" si="37"/>
        <v>-16182.513999999966</v>
      </c>
      <c r="G552" s="5">
        <f t="shared" si="35"/>
        <v>-161.82513999999966</v>
      </c>
      <c r="H552" s="5">
        <f t="shared" si="36"/>
        <v>-2.2779439752252206</v>
      </c>
    </row>
    <row r="553" spans="1:8" x14ac:dyDescent="0.25">
      <c r="A553" t="s">
        <v>555</v>
      </c>
      <c r="B553">
        <v>316365.4987</v>
      </c>
      <c r="C553">
        <v>335025.07640000002</v>
      </c>
      <c r="D553">
        <v>8364</v>
      </c>
      <c r="E553" s="5">
        <f t="shared" si="34"/>
        <v>37.824665076518414</v>
      </c>
      <c r="F553" s="5">
        <f t="shared" si="37"/>
        <v>-18659.577700000023</v>
      </c>
      <c r="G553" s="5">
        <f t="shared" si="35"/>
        <v>-186.59577700000023</v>
      </c>
      <c r="H553" s="5">
        <f t="shared" si="36"/>
        <v>-2.2309394667623175</v>
      </c>
    </row>
    <row r="554" spans="1:8" x14ac:dyDescent="0.25">
      <c r="A554" t="s">
        <v>556</v>
      </c>
      <c r="B554">
        <v>156873.04370000001</v>
      </c>
      <c r="C554">
        <v>165968.62450000001</v>
      </c>
      <c r="D554">
        <v>4146</v>
      </c>
      <c r="E554" s="5">
        <f t="shared" si="34"/>
        <v>37.837203014954177</v>
      </c>
      <c r="F554" s="5">
        <f t="shared" si="37"/>
        <v>-9095.5807999999961</v>
      </c>
      <c r="G554" s="5">
        <f t="shared" si="35"/>
        <v>-90.955807999999962</v>
      </c>
      <c r="H554" s="5">
        <f t="shared" si="36"/>
        <v>-2.1938207428847072</v>
      </c>
    </row>
    <row r="555" spans="1:8" x14ac:dyDescent="0.25">
      <c r="A555" t="s">
        <v>557</v>
      </c>
      <c r="B555">
        <v>173987.75150000001</v>
      </c>
      <c r="C555">
        <v>184188.97899999999</v>
      </c>
      <c r="D555">
        <v>4601</v>
      </c>
      <c r="E555" s="5">
        <f t="shared" si="34"/>
        <v>37.815203542708112</v>
      </c>
      <c r="F555" s="5">
        <f t="shared" si="37"/>
        <v>-10201.227499999979</v>
      </c>
      <c r="G555" s="5">
        <f t="shared" si="35"/>
        <v>-102.01227499999979</v>
      </c>
      <c r="H555" s="5">
        <f t="shared" si="36"/>
        <v>-2.2171761573570916</v>
      </c>
    </row>
    <row r="556" spans="1:8" x14ac:dyDescent="0.25">
      <c r="A556" t="s">
        <v>558</v>
      </c>
      <c r="B556">
        <v>135753.766</v>
      </c>
      <c r="C556">
        <v>143799.5987</v>
      </c>
      <c r="D556">
        <v>3593</v>
      </c>
      <c r="E556" s="5">
        <f t="shared" si="34"/>
        <v>37.782846089618701</v>
      </c>
      <c r="F556" s="5">
        <f t="shared" si="37"/>
        <v>-8045.832699999999</v>
      </c>
      <c r="G556" s="5">
        <f t="shared" si="35"/>
        <v>-80.458326999999997</v>
      </c>
      <c r="H556" s="5">
        <f t="shared" si="36"/>
        <v>-2.2393077372669077</v>
      </c>
    </row>
    <row r="557" spans="1:8" x14ac:dyDescent="0.25">
      <c r="A557" t="s">
        <v>559</v>
      </c>
      <c r="B557">
        <v>84426.509409999999</v>
      </c>
      <c r="C557">
        <v>84588.963040000002</v>
      </c>
      <c r="D557">
        <v>2114</v>
      </c>
      <c r="E557" s="5">
        <f t="shared" si="34"/>
        <v>39.936854025543994</v>
      </c>
      <c r="F557" s="5">
        <f t="shared" si="37"/>
        <v>-162.45363000000361</v>
      </c>
      <c r="G557" s="5">
        <f t="shared" si="35"/>
        <v>-1.6245363000000361</v>
      </c>
      <c r="H557" s="5">
        <f t="shared" si="36"/>
        <v>-7.6846561021761406E-2</v>
      </c>
    </row>
    <row r="558" spans="1:8" x14ac:dyDescent="0.25">
      <c r="A558" t="s">
        <v>560</v>
      </c>
      <c r="B558">
        <v>70815.190289999999</v>
      </c>
      <c r="C558">
        <v>71913.068580000006</v>
      </c>
      <c r="D558">
        <v>1797</v>
      </c>
      <c r="E558" s="5">
        <f t="shared" si="34"/>
        <v>39.407451469115195</v>
      </c>
      <c r="F558" s="5">
        <f t="shared" si="37"/>
        <v>-1097.8782900000078</v>
      </c>
      <c r="G558" s="5">
        <f t="shared" si="35"/>
        <v>-10.978782900000079</v>
      </c>
      <c r="H558" s="5">
        <f t="shared" si="36"/>
        <v>-0.61095063439065544</v>
      </c>
    </row>
    <row r="559" spans="1:8" x14ac:dyDescent="0.25">
      <c r="A559" t="s">
        <v>561</v>
      </c>
      <c r="B559">
        <v>125983.15180000001</v>
      </c>
      <c r="C559">
        <v>127884.58719999999</v>
      </c>
      <c r="D559">
        <v>3195</v>
      </c>
      <c r="E559" s="5">
        <f t="shared" si="34"/>
        <v>39.431346416275431</v>
      </c>
      <c r="F559" s="5">
        <f t="shared" si="37"/>
        <v>-1901.4353999999876</v>
      </c>
      <c r="G559" s="5">
        <f t="shared" si="35"/>
        <v>-19.014353999999877</v>
      </c>
      <c r="H559" s="5">
        <f t="shared" si="36"/>
        <v>-0.59512845070422149</v>
      </c>
    </row>
    <row r="560" spans="1:8" x14ac:dyDescent="0.25">
      <c r="A560" t="s">
        <v>562</v>
      </c>
      <c r="B560">
        <v>142378.18400000001</v>
      </c>
      <c r="C560">
        <v>143924.56510000001</v>
      </c>
      <c r="D560">
        <v>3595</v>
      </c>
      <c r="E560" s="5">
        <f t="shared" si="34"/>
        <v>39.604501808066765</v>
      </c>
      <c r="F560" s="5">
        <f t="shared" si="37"/>
        <v>-1546.3810999999987</v>
      </c>
      <c r="G560" s="5">
        <f t="shared" si="35"/>
        <v>-15.463810999999987</v>
      </c>
      <c r="H560" s="5">
        <f t="shared" si="36"/>
        <v>-0.43014773296244746</v>
      </c>
    </row>
    <row r="561" spans="1:8" x14ac:dyDescent="0.25">
      <c r="A561" t="s">
        <v>563</v>
      </c>
      <c r="B561">
        <v>57427.680710000001</v>
      </c>
      <c r="C561">
        <v>58723.040529999998</v>
      </c>
      <c r="D561">
        <v>1467</v>
      </c>
      <c r="E561" s="5">
        <f t="shared" si="34"/>
        <v>39.146339952283576</v>
      </c>
      <c r="F561" s="5">
        <f t="shared" si="37"/>
        <v>-1295.3598199999979</v>
      </c>
      <c r="G561" s="5">
        <f t="shared" si="35"/>
        <v>-12.953598199999979</v>
      </c>
      <c r="H561" s="5">
        <f t="shared" si="36"/>
        <v>-0.88299919563735363</v>
      </c>
    </row>
    <row r="562" spans="1:8" x14ac:dyDescent="0.25">
      <c r="A562" t="s">
        <v>564</v>
      </c>
      <c r="B562">
        <v>63331.330999999998</v>
      </c>
      <c r="C562">
        <v>64690.059070000003</v>
      </c>
      <c r="D562">
        <v>1610</v>
      </c>
      <c r="E562" s="5">
        <f t="shared" si="34"/>
        <v>39.336230434782607</v>
      </c>
      <c r="F562" s="5">
        <f t="shared" si="37"/>
        <v>-1358.7280700000047</v>
      </c>
      <c r="G562" s="5">
        <f t="shared" si="35"/>
        <v>-13.587280700000047</v>
      </c>
      <c r="H562" s="5">
        <f t="shared" si="36"/>
        <v>-0.84393047826087242</v>
      </c>
    </row>
    <row r="563" spans="1:8" x14ac:dyDescent="0.25">
      <c r="A563" t="s">
        <v>565</v>
      </c>
      <c r="B563">
        <v>51241.028550000003</v>
      </c>
      <c r="C563">
        <v>52509.916219999999</v>
      </c>
      <c r="D563">
        <v>1307</v>
      </c>
      <c r="E563" s="5">
        <f t="shared" si="34"/>
        <v>39.205071576128539</v>
      </c>
      <c r="F563" s="5">
        <f t="shared" si="37"/>
        <v>-1268.8876699999964</v>
      </c>
      <c r="G563" s="5">
        <f t="shared" si="35"/>
        <v>-12.688876699999964</v>
      </c>
      <c r="H563" s="5">
        <f t="shared" si="36"/>
        <v>-0.97083983932669959</v>
      </c>
    </row>
    <row r="564" spans="1:8" x14ac:dyDescent="0.25">
      <c r="A564" t="s">
        <v>566</v>
      </c>
      <c r="B564">
        <v>80326.44081</v>
      </c>
      <c r="C564">
        <v>81730.270699999994</v>
      </c>
      <c r="D564">
        <v>2050</v>
      </c>
      <c r="E564" s="5">
        <f t="shared" si="34"/>
        <v>39.183629663414635</v>
      </c>
      <c r="F564" s="5">
        <f t="shared" si="37"/>
        <v>-1403.8298899999936</v>
      </c>
      <c r="G564" s="5">
        <f t="shared" si="35"/>
        <v>-14.038298899999937</v>
      </c>
      <c r="H564" s="5">
        <f t="shared" si="36"/>
        <v>-0.68479506829267978</v>
      </c>
    </row>
    <row r="565" spans="1:8" x14ac:dyDescent="0.25">
      <c r="A565" t="s">
        <v>567</v>
      </c>
      <c r="B565">
        <v>71912.565730000002</v>
      </c>
      <c r="C565">
        <v>73762.62917</v>
      </c>
      <c r="D565">
        <v>1849</v>
      </c>
      <c r="E565" s="5">
        <f t="shared" si="34"/>
        <v>38.892680221741486</v>
      </c>
      <c r="F565" s="5">
        <f t="shared" si="37"/>
        <v>-1850.0634399999981</v>
      </c>
      <c r="G565" s="5">
        <f t="shared" si="35"/>
        <v>-18.500634399999981</v>
      </c>
      <c r="H565" s="5">
        <f t="shared" si="36"/>
        <v>-1.0005751433207128</v>
      </c>
    </row>
    <row r="566" spans="1:8" x14ac:dyDescent="0.25">
      <c r="A566" t="s">
        <v>568</v>
      </c>
      <c r="B566">
        <v>119204.3095</v>
      </c>
      <c r="C566">
        <v>122669.6994</v>
      </c>
      <c r="D566">
        <v>3070</v>
      </c>
      <c r="E566" s="5">
        <f t="shared" si="34"/>
        <v>38.828765309446254</v>
      </c>
      <c r="F566" s="5">
        <f t="shared" si="37"/>
        <v>-3465.3898999999947</v>
      </c>
      <c r="G566" s="5">
        <f t="shared" si="35"/>
        <v>-34.653898999999946</v>
      </c>
      <c r="H566" s="5">
        <f t="shared" si="36"/>
        <v>-1.1287914983713339</v>
      </c>
    </row>
    <row r="567" spans="1:8" x14ac:dyDescent="0.25">
      <c r="A567" t="s">
        <v>569</v>
      </c>
      <c r="B567">
        <v>129441.2787</v>
      </c>
      <c r="C567">
        <v>132493.43150000001</v>
      </c>
      <c r="D567">
        <v>3322</v>
      </c>
      <c r="E567" s="5">
        <f t="shared" si="34"/>
        <v>38.964864148103551</v>
      </c>
      <c r="F567" s="5">
        <f t="shared" si="37"/>
        <v>-3052.1528000000108</v>
      </c>
      <c r="G567" s="5">
        <f t="shared" si="35"/>
        <v>-30.521528000000107</v>
      </c>
      <c r="H567" s="5">
        <f t="shared" si="36"/>
        <v>-0.91876965683323619</v>
      </c>
    </row>
    <row r="568" spans="1:8" x14ac:dyDescent="0.25">
      <c r="A568" t="s">
        <v>570</v>
      </c>
      <c r="B568">
        <v>77645.749939999994</v>
      </c>
      <c r="C568">
        <v>79555.634739999994</v>
      </c>
      <c r="D568">
        <v>1982</v>
      </c>
      <c r="E568" s="5">
        <f t="shared" si="34"/>
        <v>39.175454056508578</v>
      </c>
      <c r="F568" s="5">
        <f t="shared" si="37"/>
        <v>-1909.8847999999998</v>
      </c>
      <c r="G568" s="5">
        <f t="shared" si="35"/>
        <v>-19.098847999999997</v>
      </c>
      <c r="H568" s="5">
        <f t="shared" si="36"/>
        <v>-0.96361493440968704</v>
      </c>
    </row>
    <row r="569" spans="1:8" x14ac:dyDescent="0.25">
      <c r="A569" t="s">
        <v>571</v>
      </c>
      <c r="B569">
        <v>69926.65036</v>
      </c>
      <c r="C569">
        <v>71362.51784</v>
      </c>
      <c r="D569">
        <v>1787</v>
      </c>
      <c r="E569" s="5">
        <f t="shared" si="34"/>
        <v>39.13075006155568</v>
      </c>
      <c r="F569" s="5">
        <f t="shared" si="37"/>
        <v>-1435.8674800000008</v>
      </c>
      <c r="G569" s="5">
        <f t="shared" si="35"/>
        <v>-14.358674800000008</v>
      </c>
      <c r="H569" s="5">
        <f t="shared" si="36"/>
        <v>-0.80350726357022983</v>
      </c>
    </row>
    <row r="570" spans="1:8" x14ac:dyDescent="0.25">
      <c r="A570" t="s">
        <v>572</v>
      </c>
      <c r="B570">
        <v>71973.044299999994</v>
      </c>
      <c r="C570">
        <v>73851.788400000005</v>
      </c>
      <c r="D570">
        <v>1846</v>
      </c>
      <c r="E570" s="5">
        <f t="shared" si="34"/>
        <v>38.988648049837487</v>
      </c>
      <c r="F570" s="5">
        <f t="shared" si="37"/>
        <v>-1878.7441000000108</v>
      </c>
      <c r="G570" s="5">
        <f t="shared" si="35"/>
        <v>-18.787441000000108</v>
      </c>
      <c r="H570" s="5">
        <f t="shared" si="36"/>
        <v>-1.0177378656554772</v>
      </c>
    </row>
    <row r="571" spans="1:8" x14ac:dyDescent="0.25">
      <c r="A571" t="s">
        <v>573</v>
      </c>
      <c r="B571">
        <v>44304.898359999999</v>
      </c>
      <c r="C571">
        <v>45468.83698</v>
      </c>
      <c r="D571">
        <v>1142</v>
      </c>
      <c r="E571" s="5">
        <f t="shared" si="34"/>
        <v>38.795882977232921</v>
      </c>
      <c r="F571" s="5">
        <f t="shared" si="37"/>
        <v>-1163.9386200000008</v>
      </c>
      <c r="G571" s="5">
        <f t="shared" si="35"/>
        <v>-11.639386200000008</v>
      </c>
      <c r="H571" s="5">
        <f t="shared" si="36"/>
        <v>-1.0192107005253948</v>
      </c>
    </row>
    <row r="572" spans="1:8" x14ac:dyDescent="0.25">
      <c r="A572" t="s">
        <v>574</v>
      </c>
      <c r="B572">
        <v>66799.723729999998</v>
      </c>
      <c r="C572">
        <v>69323.647870000001</v>
      </c>
      <c r="D572">
        <v>1734</v>
      </c>
      <c r="E572" s="5">
        <f t="shared" si="34"/>
        <v>38.523485426758938</v>
      </c>
      <c r="F572" s="5">
        <f t="shared" si="37"/>
        <v>-2523.9241400000028</v>
      </c>
      <c r="G572" s="5">
        <f t="shared" si="35"/>
        <v>-25.239241400000029</v>
      </c>
      <c r="H572" s="5">
        <f t="shared" si="36"/>
        <v>-1.4555502537485598</v>
      </c>
    </row>
    <row r="573" spans="1:8" x14ac:dyDescent="0.25">
      <c r="A573" t="s">
        <v>575</v>
      </c>
      <c r="B573">
        <v>125689.5928</v>
      </c>
      <c r="C573">
        <v>130428.2264</v>
      </c>
      <c r="D573">
        <v>3259</v>
      </c>
      <c r="E573" s="5">
        <f t="shared" si="34"/>
        <v>38.566920159558144</v>
      </c>
      <c r="F573" s="5">
        <f t="shared" si="37"/>
        <v>-4738.633600000001</v>
      </c>
      <c r="G573" s="5">
        <f t="shared" si="35"/>
        <v>-47.386336000000007</v>
      </c>
      <c r="H573" s="5">
        <f t="shared" si="36"/>
        <v>-1.4540146057072725</v>
      </c>
    </row>
    <row r="574" spans="1:8" x14ac:dyDescent="0.25">
      <c r="A574" t="s">
        <v>576</v>
      </c>
      <c r="B574">
        <v>138624.94500000001</v>
      </c>
      <c r="C574">
        <v>143537.3952</v>
      </c>
      <c r="D574">
        <v>3572</v>
      </c>
      <c r="E574" s="5">
        <f t="shared" si="34"/>
        <v>38.80877519596865</v>
      </c>
      <c r="F574" s="5">
        <f t="shared" si="37"/>
        <v>-4912.450199999992</v>
      </c>
      <c r="G574" s="5">
        <f t="shared" si="35"/>
        <v>-49.124501999999922</v>
      </c>
      <c r="H574" s="5">
        <f t="shared" si="36"/>
        <v>-1.3752660134378478</v>
      </c>
    </row>
    <row r="575" spans="1:8" x14ac:dyDescent="0.25">
      <c r="A575" t="s">
        <v>577</v>
      </c>
      <c r="B575">
        <v>81715.045329999994</v>
      </c>
      <c r="C575">
        <v>85089.223429999998</v>
      </c>
      <c r="D575">
        <v>2109</v>
      </c>
      <c r="E575" s="5">
        <f t="shared" si="34"/>
        <v>38.745872607871028</v>
      </c>
      <c r="F575" s="5">
        <f t="shared" si="37"/>
        <v>-3374.1781000000046</v>
      </c>
      <c r="G575" s="5">
        <f t="shared" si="35"/>
        <v>-33.741781000000046</v>
      </c>
      <c r="H575" s="5">
        <f t="shared" si="36"/>
        <v>-1.5998947842579443</v>
      </c>
    </row>
    <row r="576" spans="1:8" x14ac:dyDescent="0.25">
      <c r="A576" t="s">
        <v>578</v>
      </c>
      <c r="B576">
        <v>86842.861359999995</v>
      </c>
      <c r="C576">
        <v>90242.794099999999</v>
      </c>
      <c r="D576">
        <v>2242</v>
      </c>
      <c r="E576" s="5">
        <f t="shared" si="34"/>
        <v>38.734550115967885</v>
      </c>
      <c r="F576" s="5">
        <f t="shared" si="37"/>
        <v>-3399.9327400000038</v>
      </c>
      <c r="G576" s="5">
        <f t="shared" si="35"/>
        <v>-33.999327400000041</v>
      </c>
      <c r="H576" s="5">
        <f t="shared" si="36"/>
        <v>-1.5164731222123122</v>
      </c>
    </row>
    <row r="577" spans="1:8" x14ac:dyDescent="0.25">
      <c r="A577" t="s">
        <v>579</v>
      </c>
      <c r="B577">
        <v>56976.785279999996</v>
      </c>
      <c r="C577">
        <v>59094.076860000001</v>
      </c>
      <c r="D577">
        <v>1474</v>
      </c>
      <c r="E577" s="5">
        <f t="shared" si="34"/>
        <v>38.65453546811397</v>
      </c>
      <c r="F577" s="5">
        <f t="shared" si="37"/>
        <v>-2117.2915800000046</v>
      </c>
      <c r="G577" s="5">
        <f t="shared" si="35"/>
        <v>-21.172915800000045</v>
      </c>
      <c r="H577" s="5">
        <f t="shared" si="36"/>
        <v>-1.4364257666214415</v>
      </c>
    </row>
    <row r="578" spans="1:8" x14ac:dyDescent="0.25">
      <c r="A578" t="s">
        <v>580</v>
      </c>
      <c r="B578">
        <v>53433.668030000001</v>
      </c>
      <c r="C578">
        <v>55516.525560000002</v>
      </c>
      <c r="D578">
        <v>1381</v>
      </c>
      <c r="E578" s="5">
        <f t="shared" si="34"/>
        <v>38.692011607530773</v>
      </c>
      <c r="F578" s="5">
        <f t="shared" si="37"/>
        <v>-2082.8575300000011</v>
      </c>
      <c r="G578" s="5">
        <f t="shared" si="35"/>
        <v>-20.828575300000011</v>
      </c>
      <c r="H578" s="5">
        <f t="shared" si="36"/>
        <v>-1.5082241346850116</v>
      </c>
    </row>
    <row r="579" spans="1:8" x14ac:dyDescent="0.25">
      <c r="A579" t="s">
        <v>581</v>
      </c>
      <c r="B579">
        <v>55134.081819999999</v>
      </c>
      <c r="C579">
        <v>57064.750699999997</v>
      </c>
      <c r="D579">
        <v>1423</v>
      </c>
      <c r="E579" s="5">
        <f t="shared" ref="E579:E642" si="38">B579/D579</f>
        <v>38.744962628250178</v>
      </c>
      <c r="F579" s="5">
        <f t="shared" si="37"/>
        <v>-1930.6688799999974</v>
      </c>
      <c r="G579" s="5">
        <f t="shared" ref="G579:G642" si="39">F579/100</f>
        <v>-19.306688799999975</v>
      </c>
      <c r="H579" s="5">
        <f t="shared" ref="H579:H642" si="40">F579/D579</f>
        <v>-1.356759578355585</v>
      </c>
    </row>
    <row r="580" spans="1:8" x14ac:dyDescent="0.25">
      <c r="A580" t="s">
        <v>582</v>
      </c>
      <c r="B580">
        <v>145033.61079999999</v>
      </c>
      <c r="C580">
        <v>149876.87330000001</v>
      </c>
      <c r="D580">
        <v>3740</v>
      </c>
      <c r="E580" s="5">
        <f t="shared" si="38"/>
        <v>38.779040320855614</v>
      </c>
      <c r="F580" s="5">
        <f t="shared" si="37"/>
        <v>-4843.2625000000116</v>
      </c>
      <c r="G580" s="5">
        <f t="shared" si="39"/>
        <v>-48.432625000000115</v>
      </c>
      <c r="H580" s="5">
        <f t="shared" si="40"/>
        <v>-1.2949899732620351</v>
      </c>
    </row>
    <row r="581" spans="1:8" x14ac:dyDescent="0.25">
      <c r="A581" t="s">
        <v>583</v>
      </c>
      <c r="B581">
        <v>173306.90650000001</v>
      </c>
      <c r="C581">
        <v>178699.97589999999</v>
      </c>
      <c r="D581">
        <v>4453</v>
      </c>
      <c r="E581" s="5">
        <f t="shared" si="38"/>
        <v>38.919134628340444</v>
      </c>
      <c r="F581" s="5">
        <f t="shared" si="37"/>
        <v>-5393.0693999999785</v>
      </c>
      <c r="G581" s="5">
        <f t="shared" si="39"/>
        <v>-53.930693999999782</v>
      </c>
      <c r="H581" s="5">
        <f t="shared" si="40"/>
        <v>-1.2111092297327597</v>
      </c>
    </row>
    <row r="582" spans="1:8" x14ac:dyDescent="0.25">
      <c r="A582" t="s">
        <v>584</v>
      </c>
      <c r="B582">
        <v>88154.338709999996</v>
      </c>
      <c r="C582">
        <v>90828.661699999997</v>
      </c>
      <c r="D582">
        <v>2258</v>
      </c>
      <c r="E582" s="5">
        <f t="shared" si="38"/>
        <v>39.040894025686448</v>
      </c>
      <c r="F582" s="5">
        <f t="shared" si="37"/>
        <v>-2674.3229900000006</v>
      </c>
      <c r="G582" s="5">
        <f t="shared" si="39"/>
        <v>-26.743229900000006</v>
      </c>
      <c r="H582" s="5">
        <f t="shared" si="40"/>
        <v>-1.1843768777679364</v>
      </c>
    </row>
    <row r="583" spans="1:8" x14ac:dyDescent="0.25">
      <c r="A583" t="s">
        <v>585</v>
      </c>
      <c r="B583">
        <v>81142.027849999999</v>
      </c>
      <c r="C583">
        <v>83114.576809999999</v>
      </c>
      <c r="D583">
        <v>2074</v>
      </c>
      <c r="E583" s="5">
        <f t="shared" si="38"/>
        <v>39.123446407907423</v>
      </c>
      <c r="F583" s="5">
        <f t="shared" si="37"/>
        <v>-1972.5489600000001</v>
      </c>
      <c r="G583" s="5">
        <f t="shared" si="39"/>
        <v>-19.7254896</v>
      </c>
      <c r="H583" s="5">
        <f t="shared" si="40"/>
        <v>-0.9510843587270974</v>
      </c>
    </row>
    <row r="584" spans="1:8" x14ac:dyDescent="0.25">
      <c r="A584" t="s">
        <v>586</v>
      </c>
      <c r="B584">
        <v>77672.88278</v>
      </c>
      <c r="C584">
        <v>80417.746440000003</v>
      </c>
      <c r="D584">
        <v>2007</v>
      </c>
      <c r="E584" s="5">
        <f t="shared" si="38"/>
        <v>38.700987932237169</v>
      </c>
      <c r="F584" s="5">
        <f t="shared" si="37"/>
        <v>-2744.8636600000027</v>
      </c>
      <c r="G584" s="5">
        <f t="shared" si="39"/>
        <v>-27.448636600000029</v>
      </c>
      <c r="H584" s="5">
        <f t="shared" si="40"/>
        <v>-1.3676450722471363</v>
      </c>
    </row>
    <row r="585" spans="1:8" x14ac:dyDescent="0.25">
      <c r="A585" t="s">
        <v>587</v>
      </c>
      <c r="B585">
        <v>75483.422550000003</v>
      </c>
      <c r="C585">
        <v>78024.284679999997</v>
      </c>
      <c r="D585">
        <v>1948</v>
      </c>
      <c r="E585" s="5">
        <f t="shared" si="38"/>
        <v>38.749190220739223</v>
      </c>
      <c r="F585" s="5">
        <f t="shared" si="37"/>
        <v>-2540.8621299999941</v>
      </c>
      <c r="G585" s="5">
        <f t="shared" si="39"/>
        <v>-25.40862129999994</v>
      </c>
      <c r="H585" s="5">
        <f t="shared" si="40"/>
        <v>-1.3043440092402434</v>
      </c>
    </row>
    <row r="586" spans="1:8" x14ac:dyDescent="0.25">
      <c r="A586" t="s">
        <v>588</v>
      </c>
      <c r="B586">
        <v>74354.570099999997</v>
      </c>
      <c r="C586">
        <v>76978.305240000002</v>
      </c>
      <c r="D586">
        <v>1922</v>
      </c>
      <c r="E586" s="5">
        <f t="shared" si="38"/>
        <v>38.686040634755464</v>
      </c>
      <c r="F586" s="5">
        <f t="shared" si="37"/>
        <v>-2623.7351400000043</v>
      </c>
      <c r="G586" s="5">
        <f t="shared" si="39"/>
        <v>-26.237351400000044</v>
      </c>
      <c r="H586" s="5">
        <f t="shared" si="40"/>
        <v>-1.3651067325702415</v>
      </c>
    </row>
    <row r="587" spans="1:8" x14ac:dyDescent="0.25">
      <c r="A587" t="s">
        <v>589</v>
      </c>
      <c r="B587">
        <v>120326.8763</v>
      </c>
      <c r="C587">
        <v>123707.7616</v>
      </c>
      <c r="D587">
        <v>3088</v>
      </c>
      <c r="E587" s="5">
        <f t="shared" si="38"/>
        <v>38.965957351036273</v>
      </c>
      <c r="F587" s="5">
        <f t="shared" si="37"/>
        <v>-3380.8852999999945</v>
      </c>
      <c r="G587" s="5">
        <f t="shared" si="39"/>
        <v>-33.808852999999942</v>
      </c>
      <c r="H587" s="5">
        <f t="shared" si="40"/>
        <v>-1.0948462759067339</v>
      </c>
    </row>
    <row r="588" spans="1:8" x14ac:dyDescent="0.25">
      <c r="A588" t="s">
        <v>590</v>
      </c>
      <c r="B588">
        <v>131867.99350000001</v>
      </c>
      <c r="C588">
        <v>135721.42600000001</v>
      </c>
      <c r="D588">
        <v>3388</v>
      </c>
      <c r="E588" s="5">
        <f t="shared" si="38"/>
        <v>38.922076003541918</v>
      </c>
      <c r="F588" s="5">
        <f t="shared" ref="F588:F600" si="41" xml:space="preserve"> B588-C588</f>
        <v>-3853.4324999999953</v>
      </c>
      <c r="G588" s="5">
        <f t="shared" si="39"/>
        <v>-38.534324999999953</v>
      </c>
      <c r="H588" s="5">
        <f t="shared" si="40"/>
        <v>-1.137376770956315</v>
      </c>
    </row>
    <row r="589" spans="1:8" x14ac:dyDescent="0.25">
      <c r="A589" t="s">
        <v>591</v>
      </c>
      <c r="B589">
        <v>75504.002739999996</v>
      </c>
      <c r="C589">
        <v>77978.694470000002</v>
      </c>
      <c r="D589">
        <v>1944</v>
      </c>
      <c r="E589" s="5">
        <f t="shared" si="38"/>
        <v>38.839507582304527</v>
      </c>
      <c r="F589" s="5">
        <f t="shared" si="41"/>
        <v>-2474.6917300000059</v>
      </c>
      <c r="G589" s="5">
        <f t="shared" si="39"/>
        <v>-24.74691730000006</v>
      </c>
      <c r="H589" s="5">
        <f t="shared" si="40"/>
        <v>-1.2729895730452705</v>
      </c>
    </row>
    <row r="590" spans="1:8" x14ac:dyDescent="0.25">
      <c r="A590" t="s">
        <v>592</v>
      </c>
      <c r="B590">
        <v>69968.077699999994</v>
      </c>
      <c r="C590">
        <v>72665.725529999996</v>
      </c>
      <c r="D590">
        <v>1812</v>
      </c>
      <c r="E590" s="5">
        <f t="shared" si="38"/>
        <v>38.613729415011036</v>
      </c>
      <c r="F590" s="5">
        <f t="shared" si="41"/>
        <v>-2697.6478300000017</v>
      </c>
      <c r="G590" s="5">
        <f t="shared" si="39"/>
        <v>-26.976478300000018</v>
      </c>
      <c r="H590" s="5">
        <f t="shared" si="40"/>
        <v>-1.4887681181015462</v>
      </c>
    </row>
    <row r="591" spans="1:8" x14ac:dyDescent="0.25">
      <c r="A591" t="s">
        <v>593</v>
      </c>
      <c r="B591">
        <v>60187.14905</v>
      </c>
      <c r="C591">
        <v>62538.493280000002</v>
      </c>
      <c r="D591">
        <v>1563</v>
      </c>
      <c r="E591" s="5">
        <f t="shared" si="38"/>
        <v>38.507453007037746</v>
      </c>
      <c r="F591" s="5">
        <f t="shared" si="41"/>
        <v>-2351.3442300000024</v>
      </c>
      <c r="G591" s="5">
        <f t="shared" si="39"/>
        <v>-23.513442300000023</v>
      </c>
      <c r="H591" s="5">
        <f t="shared" si="40"/>
        <v>-1.5043789059500976</v>
      </c>
    </row>
    <row r="592" spans="1:8" x14ac:dyDescent="0.25">
      <c r="A592" t="s">
        <v>594</v>
      </c>
      <c r="B592">
        <v>44698.700750000004</v>
      </c>
      <c r="C592">
        <v>46849.567150000003</v>
      </c>
      <c r="D592">
        <v>1171</v>
      </c>
      <c r="E592" s="5">
        <f t="shared" si="38"/>
        <v>38.171392613151156</v>
      </c>
      <c r="F592" s="5">
        <f t="shared" si="41"/>
        <v>-2150.866399999999</v>
      </c>
      <c r="G592" s="5">
        <f t="shared" si="39"/>
        <v>-21.508663999999989</v>
      </c>
      <c r="H592" s="5">
        <f t="shared" si="40"/>
        <v>-1.8367774551665235</v>
      </c>
    </row>
    <row r="593" spans="1:8" x14ac:dyDescent="0.25">
      <c r="A593" t="s">
        <v>595</v>
      </c>
      <c r="B593">
        <v>39463.409059999998</v>
      </c>
      <c r="C593">
        <v>41414.418369999999</v>
      </c>
      <c r="D593">
        <v>1035</v>
      </c>
      <c r="E593" s="5">
        <f t="shared" si="38"/>
        <v>38.128897642512072</v>
      </c>
      <c r="F593" s="5">
        <f t="shared" si="41"/>
        <v>-1951.0093100000013</v>
      </c>
      <c r="G593" s="5">
        <f t="shared" si="39"/>
        <v>-19.510093100000013</v>
      </c>
      <c r="H593" s="5">
        <f t="shared" si="40"/>
        <v>-1.8850331497584554</v>
      </c>
    </row>
    <row r="594" spans="1:8" x14ac:dyDescent="0.25">
      <c r="A594" t="s">
        <v>596</v>
      </c>
      <c r="B594">
        <v>85794.096900000004</v>
      </c>
      <c r="C594">
        <v>89898.894230000005</v>
      </c>
      <c r="D594">
        <v>2247</v>
      </c>
      <c r="E594" s="5">
        <f t="shared" si="38"/>
        <v>38.181618558077439</v>
      </c>
      <c r="F594" s="5">
        <f t="shared" si="41"/>
        <v>-4104.7973300000012</v>
      </c>
      <c r="G594" s="5">
        <f t="shared" si="39"/>
        <v>-41.04797330000001</v>
      </c>
      <c r="H594" s="5">
        <f t="shared" si="40"/>
        <v>-1.8267900890075661</v>
      </c>
    </row>
    <row r="595" spans="1:8" x14ac:dyDescent="0.25">
      <c r="A595" t="s">
        <v>597</v>
      </c>
      <c r="B595">
        <v>117288.0101</v>
      </c>
      <c r="C595">
        <v>122504.3572</v>
      </c>
      <c r="D595">
        <v>3068</v>
      </c>
      <c r="E595" s="5">
        <f t="shared" si="38"/>
        <v>38.22946874185137</v>
      </c>
      <c r="F595" s="5">
        <f t="shared" si="41"/>
        <v>-5216.347099999999</v>
      </c>
      <c r="G595" s="5">
        <f t="shared" si="39"/>
        <v>-52.163470999999987</v>
      </c>
      <c r="H595" s="5">
        <f t="shared" si="40"/>
        <v>-1.7002435136896998</v>
      </c>
    </row>
    <row r="596" spans="1:8" x14ac:dyDescent="0.25">
      <c r="A596" t="s">
        <v>598</v>
      </c>
      <c r="B596">
        <v>71056.061000000002</v>
      </c>
      <c r="C596">
        <v>74589.172869999995</v>
      </c>
      <c r="D596">
        <v>1866</v>
      </c>
      <c r="E596" s="5">
        <f t="shared" si="38"/>
        <v>38.079346730975352</v>
      </c>
      <c r="F596" s="5">
        <f t="shared" si="41"/>
        <v>-3533.1118699999934</v>
      </c>
      <c r="G596" s="5">
        <f t="shared" si="39"/>
        <v>-35.331118699999934</v>
      </c>
      <c r="H596" s="5">
        <f t="shared" si="40"/>
        <v>-1.8934147213290424</v>
      </c>
    </row>
    <row r="597" spans="1:8" x14ac:dyDescent="0.25">
      <c r="A597" t="s">
        <v>599</v>
      </c>
      <c r="B597">
        <v>64394.07445</v>
      </c>
      <c r="C597">
        <v>67505.254140000005</v>
      </c>
      <c r="D597">
        <v>1690</v>
      </c>
      <c r="E597" s="5">
        <f t="shared" si="38"/>
        <v>38.103002633136093</v>
      </c>
      <c r="F597" s="5">
        <f t="shared" si="41"/>
        <v>-3111.1796900000045</v>
      </c>
      <c r="G597" s="5">
        <f t="shared" si="39"/>
        <v>-31.111796900000044</v>
      </c>
      <c r="H597" s="5">
        <f t="shared" si="40"/>
        <v>-1.8409347278106536</v>
      </c>
    </row>
    <row r="598" spans="1:8" x14ac:dyDescent="0.25">
      <c r="A598" t="s">
        <v>600</v>
      </c>
      <c r="B598">
        <v>35165.97208</v>
      </c>
      <c r="C598">
        <v>36841.967320000003</v>
      </c>
      <c r="D598">
        <v>922</v>
      </c>
      <c r="E598" s="5">
        <f t="shared" si="38"/>
        <v>38.140967548806941</v>
      </c>
      <c r="F598" s="5">
        <f t="shared" si="41"/>
        <v>-1675.9952400000038</v>
      </c>
      <c r="G598" s="5">
        <f t="shared" si="39"/>
        <v>-16.759952400000039</v>
      </c>
      <c r="H598" s="5">
        <f t="shared" si="40"/>
        <v>-1.817782255965297</v>
      </c>
    </row>
    <row r="599" spans="1:8" x14ac:dyDescent="0.25">
      <c r="A599" t="s">
        <v>601</v>
      </c>
      <c r="B599">
        <v>23234.183199999999</v>
      </c>
      <c r="C599">
        <v>24104.08598</v>
      </c>
      <c r="D599">
        <v>604</v>
      </c>
      <c r="E599" s="5">
        <f t="shared" si="38"/>
        <v>38.467190728476822</v>
      </c>
      <c r="F599" s="5">
        <f t="shared" si="41"/>
        <v>-869.90278000000035</v>
      </c>
      <c r="G599" s="5">
        <f t="shared" si="39"/>
        <v>-8.6990278000000032</v>
      </c>
      <c r="H599" s="5">
        <f t="shared" si="40"/>
        <v>-1.4402363907284774</v>
      </c>
    </row>
    <row r="600" spans="1:8" x14ac:dyDescent="0.25">
      <c r="A600" t="s">
        <v>602</v>
      </c>
      <c r="B600">
        <v>24754.957180000001</v>
      </c>
      <c r="C600">
        <v>25407.174070000001</v>
      </c>
      <c r="D600">
        <v>643</v>
      </c>
      <c r="E600" s="5">
        <f t="shared" si="38"/>
        <v>38.499155800933131</v>
      </c>
      <c r="F600" s="5">
        <f t="shared" si="41"/>
        <v>-652.21688999999969</v>
      </c>
      <c r="G600" s="5">
        <f t="shared" si="39"/>
        <v>-6.5221688999999969</v>
      </c>
      <c r="H600" s="5">
        <f t="shared" si="40"/>
        <v>-1.0143341990668735</v>
      </c>
    </row>
    <row r="601" spans="1:8" x14ac:dyDescent="0.25">
      <c r="A601" t="s">
        <v>603</v>
      </c>
      <c r="B601">
        <v>76691.283030000006</v>
      </c>
      <c r="C601">
        <v>78691.956319999998</v>
      </c>
      <c r="D601">
        <v>2006</v>
      </c>
      <c r="E601" s="5">
        <f t="shared" si="38"/>
        <v>38.230948668993022</v>
      </c>
      <c r="F601" s="5">
        <f xml:space="preserve"> B601-C601</f>
        <v>-2000.6732899999915</v>
      </c>
      <c r="G601" s="5">
        <f t="shared" si="39"/>
        <v>-20.006732899999914</v>
      </c>
      <c r="H601" s="5">
        <f t="shared" si="40"/>
        <v>-0.99734461116649631</v>
      </c>
    </row>
    <row r="602" spans="1:8" x14ac:dyDescent="0.25">
      <c r="A602" t="s">
        <v>604</v>
      </c>
      <c r="B602">
        <v>102231.2118</v>
      </c>
      <c r="C602">
        <v>104713.00750000001</v>
      </c>
      <c r="D602">
        <v>2677</v>
      </c>
      <c r="E602" s="5">
        <f t="shared" si="38"/>
        <v>38.188723122898772</v>
      </c>
      <c r="F602" s="5">
        <f t="shared" ref="F602:F665" si="42" xml:space="preserve"> B602-C602</f>
        <v>-2481.7957000000024</v>
      </c>
      <c r="G602" s="5">
        <f t="shared" si="39"/>
        <v>-24.817957000000025</v>
      </c>
      <c r="H602" s="5">
        <f t="shared" si="40"/>
        <v>-0.9270809488233106</v>
      </c>
    </row>
    <row r="603" spans="1:8" x14ac:dyDescent="0.25">
      <c r="A603" t="s">
        <v>605</v>
      </c>
      <c r="B603">
        <v>56974.868029999998</v>
      </c>
      <c r="C603">
        <v>57548.98515</v>
      </c>
      <c r="D603">
        <v>1467</v>
      </c>
      <c r="E603" s="5">
        <f t="shared" si="38"/>
        <v>38.837674185412403</v>
      </c>
      <c r="F603" s="5">
        <f t="shared" si="42"/>
        <v>-574.11712000000261</v>
      </c>
      <c r="G603" s="5">
        <f t="shared" si="39"/>
        <v>-5.7411712000000259</v>
      </c>
      <c r="H603" s="5">
        <f t="shared" si="40"/>
        <v>-0.39135454669393499</v>
      </c>
    </row>
    <row r="604" spans="1:8" x14ac:dyDescent="0.25">
      <c r="A604" t="s">
        <v>606</v>
      </c>
      <c r="B604">
        <v>59442.731119999997</v>
      </c>
      <c r="C604">
        <v>59785.428610000003</v>
      </c>
      <c r="D604">
        <v>1528</v>
      </c>
      <c r="E604" s="5">
        <f t="shared" si="38"/>
        <v>38.902310942408377</v>
      </c>
      <c r="F604" s="5">
        <f t="shared" si="42"/>
        <v>-342.69749000000593</v>
      </c>
      <c r="G604" s="5">
        <f t="shared" si="39"/>
        <v>-3.4269749000000593</v>
      </c>
      <c r="H604" s="5">
        <f t="shared" si="40"/>
        <v>-0.2242784620418887</v>
      </c>
    </row>
    <row r="605" spans="1:8" x14ac:dyDescent="0.25">
      <c r="A605" t="s">
        <v>607</v>
      </c>
      <c r="B605">
        <v>217683.36230000001</v>
      </c>
      <c r="C605">
        <v>246975.73079999999</v>
      </c>
      <c r="D605">
        <v>6360</v>
      </c>
      <c r="E605" s="5">
        <f t="shared" si="38"/>
        <v>34.226943757861633</v>
      </c>
      <c r="F605" s="5">
        <f t="shared" si="42"/>
        <v>-29292.368499999982</v>
      </c>
      <c r="G605" s="5">
        <f t="shared" si="39"/>
        <v>-292.92368499999981</v>
      </c>
      <c r="H605" s="5">
        <f t="shared" si="40"/>
        <v>-4.6057183176100605</v>
      </c>
    </row>
    <row r="606" spans="1:8" x14ac:dyDescent="0.25">
      <c r="A606" t="s">
        <v>608</v>
      </c>
      <c r="B606">
        <v>275458.80690000003</v>
      </c>
      <c r="C606">
        <v>307092.27439999999</v>
      </c>
      <c r="D606">
        <v>8035</v>
      </c>
      <c r="E606" s="5">
        <f t="shared" si="38"/>
        <v>34.28236551337897</v>
      </c>
      <c r="F606" s="5">
        <f t="shared" si="42"/>
        <v>-31633.46749999997</v>
      </c>
      <c r="G606" s="5">
        <f t="shared" si="39"/>
        <v>-316.33467499999972</v>
      </c>
      <c r="H606" s="5">
        <f t="shared" si="40"/>
        <v>-3.9369592408214027</v>
      </c>
    </row>
    <row r="607" spans="1:8" x14ac:dyDescent="0.25">
      <c r="A607" t="s">
        <v>609</v>
      </c>
      <c r="B607">
        <v>228731.86550000001</v>
      </c>
      <c r="C607">
        <v>252845.44560000001</v>
      </c>
      <c r="D607">
        <v>6675</v>
      </c>
      <c r="E607" s="5">
        <f t="shared" si="38"/>
        <v>34.266946142322098</v>
      </c>
      <c r="F607" s="5">
        <f t="shared" si="42"/>
        <v>-24113.580099999992</v>
      </c>
      <c r="G607" s="5">
        <f t="shared" si="39"/>
        <v>-241.13580099999993</v>
      </c>
      <c r="H607" s="5">
        <f t="shared" si="40"/>
        <v>-3.6125213632958788</v>
      </c>
    </row>
    <row r="608" spans="1:8" x14ac:dyDescent="0.25">
      <c r="A608" t="s">
        <v>610</v>
      </c>
      <c r="B608">
        <v>387639.12</v>
      </c>
      <c r="C608">
        <v>426783.30219999998</v>
      </c>
      <c r="D608">
        <v>11330</v>
      </c>
      <c r="E608" s="5">
        <f t="shared" si="38"/>
        <v>34.213514563106799</v>
      </c>
      <c r="F608" s="5">
        <f t="shared" si="42"/>
        <v>-39144.182199999981</v>
      </c>
      <c r="G608" s="5">
        <f t="shared" si="39"/>
        <v>-391.44182199999983</v>
      </c>
      <c r="H608" s="5">
        <f t="shared" si="40"/>
        <v>-3.4549145807590449</v>
      </c>
    </row>
    <row r="609" spans="1:8" x14ac:dyDescent="0.25">
      <c r="A609" t="s">
        <v>611</v>
      </c>
      <c r="B609">
        <v>461188.0049</v>
      </c>
      <c r="C609">
        <v>504578.1888</v>
      </c>
      <c r="D609">
        <v>13484</v>
      </c>
      <c r="E609" s="5">
        <f t="shared" si="38"/>
        <v>34.20261086472857</v>
      </c>
      <c r="F609" s="5">
        <f t="shared" si="42"/>
        <v>-43390.183900000004</v>
      </c>
      <c r="G609" s="5">
        <f t="shared" si="39"/>
        <v>-433.90183900000005</v>
      </c>
      <c r="H609" s="5">
        <f t="shared" si="40"/>
        <v>-3.217901505487986</v>
      </c>
    </row>
    <row r="610" spans="1:8" x14ac:dyDescent="0.25">
      <c r="A610" t="s">
        <v>612</v>
      </c>
      <c r="B610">
        <v>202249.67720000001</v>
      </c>
      <c r="C610">
        <v>220152.1868</v>
      </c>
      <c r="D610">
        <v>5913</v>
      </c>
      <c r="E610" s="5">
        <f t="shared" si="38"/>
        <v>34.204241028242855</v>
      </c>
      <c r="F610" s="5">
        <f t="shared" si="42"/>
        <v>-17902.50959999999</v>
      </c>
      <c r="G610" s="5">
        <f t="shared" si="39"/>
        <v>-179.02509599999991</v>
      </c>
      <c r="H610" s="5">
        <f t="shared" si="40"/>
        <v>-3.0276525621511907</v>
      </c>
    </row>
    <row r="611" spans="1:8" x14ac:dyDescent="0.25">
      <c r="A611" t="s">
        <v>613</v>
      </c>
      <c r="B611">
        <v>332559.76500000001</v>
      </c>
      <c r="C611">
        <v>361970.28590000002</v>
      </c>
      <c r="D611">
        <v>9721</v>
      </c>
      <c r="E611" s="5">
        <f t="shared" si="38"/>
        <v>34.210447999177042</v>
      </c>
      <c r="F611" s="5">
        <f t="shared" si="42"/>
        <v>-29410.520900000003</v>
      </c>
      <c r="G611" s="5">
        <f t="shared" si="39"/>
        <v>-294.10520900000006</v>
      </c>
      <c r="H611" s="5">
        <f t="shared" si="40"/>
        <v>-3.0254624935706205</v>
      </c>
    </row>
    <row r="612" spans="1:8" x14ac:dyDescent="0.25">
      <c r="A612" t="s">
        <v>614</v>
      </c>
      <c r="B612">
        <v>384806.77159999998</v>
      </c>
      <c r="C612">
        <v>418101.59749999997</v>
      </c>
      <c r="D612">
        <v>11257</v>
      </c>
      <c r="E612" s="5">
        <f t="shared" si="38"/>
        <v>34.183776459092115</v>
      </c>
      <c r="F612" s="5">
        <f t="shared" si="42"/>
        <v>-33294.825899999996</v>
      </c>
      <c r="G612" s="5">
        <f t="shared" si="39"/>
        <v>-332.94825899999995</v>
      </c>
      <c r="H612" s="5">
        <f t="shared" si="40"/>
        <v>-2.9576997334991559</v>
      </c>
    </row>
    <row r="613" spans="1:8" x14ac:dyDescent="0.25">
      <c r="A613" t="s">
        <v>615</v>
      </c>
      <c r="B613">
        <v>345776.25030000001</v>
      </c>
      <c r="C613">
        <v>373816.16840000002</v>
      </c>
      <c r="D613">
        <v>10102</v>
      </c>
      <c r="E613" s="5">
        <f t="shared" si="38"/>
        <v>34.228494387250052</v>
      </c>
      <c r="F613" s="5">
        <f t="shared" si="42"/>
        <v>-28039.91810000001</v>
      </c>
      <c r="G613" s="5">
        <f t="shared" si="39"/>
        <v>-280.39918100000011</v>
      </c>
      <c r="H613" s="5">
        <f t="shared" si="40"/>
        <v>-2.7756798752722243</v>
      </c>
    </row>
    <row r="614" spans="1:8" x14ac:dyDescent="0.25">
      <c r="A614" t="s">
        <v>616</v>
      </c>
      <c r="B614">
        <v>271551.09509999998</v>
      </c>
      <c r="C614">
        <v>293343.87400000001</v>
      </c>
      <c r="D614">
        <v>7938</v>
      </c>
      <c r="E614" s="5">
        <f t="shared" si="38"/>
        <v>34.209006689342402</v>
      </c>
      <c r="F614" s="5">
        <f t="shared" si="42"/>
        <v>-21792.778900000034</v>
      </c>
      <c r="G614" s="5">
        <f t="shared" si="39"/>
        <v>-217.92778900000033</v>
      </c>
      <c r="H614" s="5">
        <f t="shared" si="40"/>
        <v>-2.7453740110859202</v>
      </c>
    </row>
    <row r="615" spans="1:8" x14ac:dyDescent="0.25">
      <c r="A615" t="s">
        <v>617</v>
      </c>
      <c r="B615">
        <v>340440.20549999998</v>
      </c>
      <c r="C615">
        <v>366359.65860000002</v>
      </c>
      <c r="D615">
        <v>9936</v>
      </c>
      <c r="E615" s="5">
        <f t="shared" si="38"/>
        <v>34.263305706521734</v>
      </c>
      <c r="F615" s="5">
        <f t="shared" si="42"/>
        <v>-25919.453100000042</v>
      </c>
      <c r="G615" s="5">
        <f t="shared" si="39"/>
        <v>-259.19453100000044</v>
      </c>
      <c r="H615" s="5">
        <f t="shared" si="40"/>
        <v>-2.6086406099033859</v>
      </c>
    </row>
    <row r="616" spans="1:8" x14ac:dyDescent="0.25">
      <c r="A616" t="s">
        <v>618</v>
      </c>
      <c r="B616">
        <v>364416.7316</v>
      </c>
      <c r="C616">
        <v>392128.30129999999</v>
      </c>
      <c r="D616">
        <v>10643</v>
      </c>
      <c r="E616" s="5">
        <f t="shared" si="38"/>
        <v>34.240038673306401</v>
      </c>
      <c r="F616" s="5">
        <f t="shared" si="42"/>
        <v>-27711.569699999993</v>
      </c>
      <c r="G616" s="5">
        <f t="shared" si="39"/>
        <v>-277.11569699999995</v>
      </c>
      <c r="H616" s="5">
        <f t="shared" si="40"/>
        <v>-2.6037367001785205</v>
      </c>
    </row>
    <row r="617" spans="1:8" x14ac:dyDescent="0.25">
      <c r="A617" t="s">
        <v>619</v>
      </c>
      <c r="B617">
        <v>164719.60449999999</v>
      </c>
      <c r="C617">
        <v>176647.84270000001</v>
      </c>
      <c r="D617">
        <v>4800</v>
      </c>
      <c r="E617" s="5">
        <f t="shared" si="38"/>
        <v>34.316584270833332</v>
      </c>
      <c r="F617" s="5">
        <f t="shared" si="42"/>
        <v>-11928.238200000022</v>
      </c>
      <c r="G617" s="5">
        <f t="shared" si="39"/>
        <v>-119.28238200000021</v>
      </c>
      <c r="H617" s="5">
        <f t="shared" si="40"/>
        <v>-2.4850496250000047</v>
      </c>
    </row>
    <row r="618" spans="1:8" x14ac:dyDescent="0.25">
      <c r="A618" t="s">
        <v>620</v>
      </c>
      <c r="B618">
        <v>178921.0993</v>
      </c>
      <c r="C618">
        <v>192507.5287</v>
      </c>
      <c r="D618">
        <v>5228</v>
      </c>
      <c r="E618" s="5">
        <f t="shared" si="38"/>
        <v>34.223622666411629</v>
      </c>
      <c r="F618" s="5">
        <f t="shared" si="42"/>
        <v>-13586.429399999994</v>
      </c>
      <c r="G618" s="5">
        <f t="shared" si="39"/>
        <v>-135.86429399999994</v>
      </c>
      <c r="H618" s="5">
        <f t="shared" si="40"/>
        <v>-2.5987814460596774</v>
      </c>
    </row>
    <row r="619" spans="1:8" x14ac:dyDescent="0.25">
      <c r="A619" t="s">
        <v>621</v>
      </c>
      <c r="B619">
        <v>70286.997810000001</v>
      </c>
      <c r="C619">
        <v>66639.698050000006</v>
      </c>
      <c r="D619">
        <v>1810</v>
      </c>
      <c r="E619" s="5">
        <f t="shared" si="38"/>
        <v>38.83259547513812</v>
      </c>
      <c r="F619" s="5">
        <f t="shared" si="42"/>
        <v>3647.2997599999944</v>
      </c>
      <c r="G619" s="5">
        <f t="shared" si="39"/>
        <v>36.472997599999943</v>
      </c>
      <c r="H619" s="5">
        <f t="shared" si="40"/>
        <v>2.0150827403314886</v>
      </c>
    </row>
    <row r="620" spans="1:8" x14ac:dyDescent="0.25">
      <c r="A620" t="s">
        <v>622</v>
      </c>
      <c r="B620">
        <v>76013.677899999995</v>
      </c>
      <c r="C620">
        <v>72211.103170000002</v>
      </c>
      <c r="D620">
        <v>1961</v>
      </c>
      <c r="E620" s="5">
        <f t="shared" si="38"/>
        <v>38.76271183069862</v>
      </c>
      <c r="F620" s="5">
        <f t="shared" si="42"/>
        <v>3802.574729999993</v>
      </c>
      <c r="G620" s="5">
        <f t="shared" si="39"/>
        <v>38.025747299999928</v>
      </c>
      <c r="H620" s="5">
        <f t="shared" si="40"/>
        <v>1.9390998113207512</v>
      </c>
    </row>
    <row r="621" spans="1:8" x14ac:dyDescent="0.25">
      <c r="A621" t="s">
        <v>623</v>
      </c>
      <c r="B621">
        <v>48406.787149999996</v>
      </c>
      <c r="C621">
        <v>45316.542730000001</v>
      </c>
      <c r="D621">
        <v>1232</v>
      </c>
      <c r="E621" s="5">
        <f t="shared" si="38"/>
        <v>39.291223336038961</v>
      </c>
      <c r="F621" s="5">
        <f t="shared" si="42"/>
        <v>3090.2444199999954</v>
      </c>
      <c r="G621" s="5">
        <f t="shared" si="39"/>
        <v>30.902444199999955</v>
      </c>
      <c r="H621" s="5">
        <f t="shared" si="40"/>
        <v>2.5083152759740224</v>
      </c>
    </row>
    <row r="622" spans="1:8" x14ac:dyDescent="0.25">
      <c r="A622" t="s">
        <v>624</v>
      </c>
      <c r="B622">
        <v>85940.026939999996</v>
      </c>
      <c r="C622">
        <v>81559.845619999993</v>
      </c>
      <c r="D622">
        <v>2194</v>
      </c>
      <c r="E622" s="5">
        <f t="shared" si="38"/>
        <v>39.170477183226978</v>
      </c>
      <c r="F622" s="5">
        <f t="shared" si="42"/>
        <v>4380.1813200000033</v>
      </c>
      <c r="G622" s="5">
        <f t="shared" si="39"/>
        <v>43.801813200000034</v>
      </c>
      <c r="H622" s="5">
        <f t="shared" si="40"/>
        <v>1.9964363354603478</v>
      </c>
    </row>
    <row r="623" spans="1:8" x14ac:dyDescent="0.25">
      <c r="A623" t="s">
        <v>625</v>
      </c>
      <c r="B623">
        <v>57381.751450000003</v>
      </c>
      <c r="C623">
        <v>54340.891510000001</v>
      </c>
      <c r="D623">
        <v>1469</v>
      </c>
      <c r="E623" s="5">
        <f t="shared" si="38"/>
        <v>39.061777705922395</v>
      </c>
      <c r="F623" s="5">
        <f t="shared" si="42"/>
        <v>3040.8599400000021</v>
      </c>
      <c r="G623" s="5">
        <f t="shared" si="39"/>
        <v>30.408599400000021</v>
      </c>
      <c r="H623" s="5">
        <f t="shared" si="40"/>
        <v>2.0700203812117102</v>
      </c>
    </row>
    <row r="624" spans="1:8" x14ac:dyDescent="0.25">
      <c r="A624" t="s">
        <v>626</v>
      </c>
      <c r="B624">
        <v>32479.79639</v>
      </c>
      <c r="C624">
        <v>30763.688119999999</v>
      </c>
      <c r="D624">
        <v>829</v>
      </c>
      <c r="E624" s="5">
        <f t="shared" si="38"/>
        <v>39.17948901085645</v>
      </c>
      <c r="F624" s="5">
        <f t="shared" si="42"/>
        <v>1716.1082700000006</v>
      </c>
      <c r="G624" s="5">
        <f t="shared" si="39"/>
        <v>17.161082700000005</v>
      </c>
      <c r="H624" s="5">
        <f t="shared" si="40"/>
        <v>2.0700944149577811</v>
      </c>
    </row>
    <row r="625" spans="1:8" x14ac:dyDescent="0.25">
      <c r="A625" t="s">
        <v>627</v>
      </c>
      <c r="B625">
        <v>52160.183929999999</v>
      </c>
      <c r="C625">
        <v>49656.007749999997</v>
      </c>
      <c r="D625">
        <v>1329</v>
      </c>
      <c r="E625" s="5">
        <f t="shared" si="38"/>
        <v>39.247692949586153</v>
      </c>
      <c r="F625" s="5">
        <f t="shared" si="42"/>
        <v>2504.1761800000022</v>
      </c>
      <c r="G625" s="5">
        <f t="shared" si="39"/>
        <v>25.041761800000021</v>
      </c>
      <c r="H625" s="5">
        <f t="shared" si="40"/>
        <v>1.8842559668924019</v>
      </c>
    </row>
    <row r="626" spans="1:8" x14ac:dyDescent="0.25">
      <c r="A626" t="s">
        <v>628</v>
      </c>
      <c r="B626">
        <v>51002.839569999996</v>
      </c>
      <c r="C626">
        <v>48601.967499999999</v>
      </c>
      <c r="D626">
        <v>1300</v>
      </c>
      <c r="E626" s="5">
        <f t="shared" si="38"/>
        <v>39.232953515384615</v>
      </c>
      <c r="F626" s="5">
        <f t="shared" si="42"/>
        <v>2400.8720699999976</v>
      </c>
      <c r="G626" s="5">
        <f t="shared" si="39"/>
        <v>24.008720699999976</v>
      </c>
      <c r="H626" s="5">
        <f t="shared" si="40"/>
        <v>1.8468246692307675</v>
      </c>
    </row>
    <row r="627" spans="1:8" x14ac:dyDescent="0.25">
      <c r="A627" t="s">
        <v>629</v>
      </c>
      <c r="B627">
        <v>30194.715960000001</v>
      </c>
      <c r="C627">
        <v>28605.460800000001</v>
      </c>
      <c r="D627">
        <v>773</v>
      </c>
      <c r="E627" s="5">
        <f t="shared" si="38"/>
        <v>39.061728279430788</v>
      </c>
      <c r="F627" s="5">
        <f t="shared" si="42"/>
        <v>1589.2551600000006</v>
      </c>
      <c r="G627" s="5">
        <f t="shared" si="39"/>
        <v>15.892551600000006</v>
      </c>
      <c r="H627" s="5">
        <f t="shared" si="40"/>
        <v>2.0559575161707642</v>
      </c>
    </row>
    <row r="628" spans="1:8" x14ac:dyDescent="0.25">
      <c r="A628" t="s">
        <v>630</v>
      </c>
      <c r="B628">
        <v>29751.222610000001</v>
      </c>
      <c r="C628">
        <v>28084.235130000001</v>
      </c>
      <c r="D628">
        <v>760</v>
      </c>
      <c r="E628" s="5">
        <f t="shared" si="38"/>
        <v>39.146345539473685</v>
      </c>
      <c r="F628" s="5">
        <f t="shared" si="42"/>
        <v>1666.9874799999998</v>
      </c>
      <c r="G628" s="5">
        <f t="shared" si="39"/>
        <v>16.669874799999999</v>
      </c>
      <c r="H628" s="5">
        <f t="shared" si="40"/>
        <v>2.193404578947368</v>
      </c>
    </row>
    <row r="629" spans="1:8" x14ac:dyDescent="0.25">
      <c r="A629" t="s">
        <v>631</v>
      </c>
      <c r="B629">
        <v>68504.639439999999</v>
      </c>
      <c r="C629">
        <v>64881.97565</v>
      </c>
      <c r="D629">
        <v>1755</v>
      </c>
      <c r="E629" s="5">
        <f t="shared" si="38"/>
        <v>39.033982586894588</v>
      </c>
      <c r="F629" s="5">
        <f t="shared" si="42"/>
        <v>3622.6637899999987</v>
      </c>
      <c r="G629" s="5">
        <f t="shared" si="39"/>
        <v>36.226637899999986</v>
      </c>
      <c r="H629" s="5">
        <f t="shared" si="40"/>
        <v>2.0641958917378909</v>
      </c>
    </row>
    <row r="630" spans="1:8" x14ac:dyDescent="0.25">
      <c r="A630" t="s">
        <v>632</v>
      </c>
      <c r="B630">
        <v>68996.561759999997</v>
      </c>
      <c r="C630">
        <v>65211.571770000002</v>
      </c>
      <c r="D630">
        <v>1766</v>
      </c>
      <c r="E630" s="5">
        <f t="shared" si="38"/>
        <v>39.069400770101922</v>
      </c>
      <c r="F630" s="5">
        <f t="shared" si="42"/>
        <v>3784.9899899999946</v>
      </c>
      <c r="G630" s="5">
        <f t="shared" si="39"/>
        <v>37.849899899999947</v>
      </c>
      <c r="H630" s="5">
        <f t="shared" si="40"/>
        <v>2.143255939977347</v>
      </c>
    </row>
    <row r="631" spans="1:8" x14ac:dyDescent="0.25">
      <c r="A631" t="s">
        <v>633</v>
      </c>
      <c r="B631">
        <v>41855.928760000003</v>
      </c>
      <c r="C631">
        <v>39629.451869999997</v>
      </c>
      <c r="D631">
        <v>1078</v>
      </c>
      <c r="E631" s="5">
        <f t="shared" si="38"/>
        <v>38.827392170686458</v>
      </c>
      <c r="F631" s="5">
        <f t="shared" si="42"/>
        <v>2226.4768900000054</v>
      </c>
      <c r="G631" s="5">
        <f t="shared" si="39"/>
        <v>22.264768900000053</v>
      </c>
      <c r="H631" s="5">
        <f t="shared" si="40"/>
        <v>2.0653774489795969</v>
      </c>
    </row>
    <row r="632" spans="1:8" x14ac:dyDescent="0.25">
      <c r="A632" t="s">
        <v>634</v>
      </c>
      <c r="B632">
        <v>44303.466489999999</v>
      </c>
      <c r="C632">
        <v>41485.458720000002</v>
      </c>
      <c r="D632">
        <v>1124</v>
      </c>
      <c r="E632" s="5">
        <f t="shared" si="38"/>
        <v>39.415895453736653</v>
      </c>
      <c r="F632" s="5">
        <f t="shared" si="42"/>
        <v>2818.0077699999965</v>
      </c>
      <c r="G632" s="5">
        <f t="shared" si="39"/>
        <v>28.180077699999966</v>
      </c>
      <c r="H632" s="5">
        <f t="shared" si="40"/>
        <v>2.5071243505338048</v>
      </c>
    </row>
    <row r="633" spans="1:8" x14ac:dyDescent="0.25">
      <c r="A633" t="s">
        <v>635</v>
      </c>
      <c r="B633">
        <v>46599.298130000003</v>
      </c>
      <c r="C633">
        <v>43806.73201</v>
      </c>
      <c r="D633">
        <v>1182</v>
      </c>
      <c r="E633" s="5">
        <f t="shared" si="38"/>
        <v>39.424110093062609</v>
      </c>
      <c r="F633" s="5">
        <f t="shared" si="42"/>
        <v>2792.5661200000031</v>
      </c>
      <c r="G633" s="5">
        <f t="shared" si="39"/>
        <v>27.925661200000032</v>
      </c>
      <c r="H633" s="5">
        <f t="shared" si="40"/>
        <v>2.3625770896785139</v>
      </c>
    </row>
    <row r="634" spans="1:8" x14ac:dyDescent="0.25">
      <c r="A634" t="s">
        <v>636</v>
      </c>
      <c r="B634">
        <v>125182.75719999999</v>
      </c>
      <c r="C634">
        <v>138583.83780000001</v>
      </c>
      <c r="D634">
        <v>3725</v>
      </c>
      <c r="E634" s="5">
        <f t="shared" si="38"/>
        <v>33.606109315436242</v>
      </c>
      <c r="F634" s="5">
        <f t="shared" si="42"/>
        <v>-13401.080600000016</v>
      </c>
      <c r="G634" s="5">
        <f t="shared" si="39"/>
        <v>-134.01080600000014</v>
      </c>
      <c r="H634" s="5">
        <f t="shared" si="40"/>
        <v>-3.5976055302013465</v>
      </c>
    </row>
    <row r="635" spans="1:8" x14ac:dyDescent="0.25">
      <c r="A635" t="s">
        <v>637</v>
      </c>
      <c r="B635">
        <v>150036.80499999999</v>
      </c>
      <c r="C635">
        <v>167704.8554</v>
      </c>
      <c r="D635">
        <v>4492</v>
      </c>
      <c r="E635" s="5">
        <f t="shared" si="38"/>
        <v>33.400891585040071</v>
      </c>
      <c r="F635" s="5">
        <f t="shared" si="42"/>
        <v>-17668.050400000007</v>
      </c>
      <c r="G635" s="5">
        <f t="shared" si="39"/>
        <v>-176.68050400000007</v>
      </c>
      <c r="H635" s="5">
        <f t="shared" si="40"/>
        <v>-3.9332258236865556</v>
      </c>
    </row>
    <row r="636" spans="1:8" x14ac:dyDescent="0.25">
      <c r="A636" t="s">
        <v>638</v>
      </c>
      <c r="B636">
        <v>368037.69189999998</v>
      </c>
      <c r="C636">
        <v>413540.80719999998</v>
      </c>
      <c r="D636">
        <v>11030</v>
      </c>
      <c r="E636" s="5">
        <f t="shared" si="38"/>
        <v>33.366971160471437</v>
      </c>
      <c r="F636" s="5">
        <f t="shared" si="42"/>
        <v>-45503.115300000005</v>
      </c>
      <c r="G636" s="5">
        <f t="shared" si="39"/>
        <v>-455.03115300000007</v>
      </c>
      <c r="H636" s="5">
        <f t="shared" si="40"/>
        <v>-4.1253957660924758</v>
      </c>
    </row>
    <row r="637" spans="1:8" x14ac:dyDescent="0.25">
      <c r="A637" t="s">
        <v>639</v>
      </c>
      <c r="B637">
        <v>351319.63809999998</v>
      </c>
      <c r="C637">
        <v>397626.58510000003</v>
      </c>
      <c r="D637">
        <v>10528</v>
      </c>
      <c r="E637" s="5">
        <f t="shared" si="38"/>
        <v>33.370026415273557</v>
      </c>
      <c r="F637" s="5">
        <f t="shared" si="42"/>
        <v>-46306.947000000044</v>
      </c>
      <c r="G637" s="5">
        <f t="shared" si="39"/>
        <v>-463.06947000000042</v>
      </c>
      <c r="H637" s="5">
        <f t="shared" si="40"/>
        <v>-4.3984562120060833</v>
      </c>
    </row>
    <row r="638" spans="1:8" x14ac:dyDescent="0.25">
      <c r="A638" t="s">
        <v>640</v>
      </c>
      <c r="B638">
        <v>163289.93669999999</v>
      </c>
      <c r="C638">
        <v>185404.04399999999</v>
      </c>
      <c r="D638">
        <v>4895</v>
      </c>
      <c r="E638" s="5">
        <f t="shared" si="38"/>
        <v>33.358516179775279</v>
      </c>
      <c r="F638" s="5">
        <f t="shared" si="42"/>
        <v>-22114.107300000003</v>
      </c>
      <c r="G638" s="5">
        <f t="shared" si="39"/>
        <v>-221.14107300000003</v>
      </c>
      <c r="H638" s="5">
        <f t="shared" si="40"/>
        <v>-4.5176930132788566</v>
      </c>
    </row>
    <row r="639" spans="1:8" x14ac:dyDescent="0.25">
      <c r="A639" t="s">
        <v>641</v>
      </c>
      <c r="B639">
        <v>190892.459</v>
      </c>
      <c r="C639">
        <v>216571.0595</v>
      </c>
      <c r="D639">
        <v>5720</v>
      </c>
      <c r="E639" s="5">
        <f t="shared" si="38"/>
        <v>33.372807517482521</v>
      </c>
      <c r="F639" s="5">
        <f t="shared" si="42"/>
        <v>-25678.6005</v>
      </c>
      <c r="G639" s="5">
        <f t="shared" si="39"/>
        <v>-256.78600499999999</v>
      </c>
      <c r="H639" s="5">
        <f t="shared" si="40"/>
        <v>-4.4892658216783214</v>
      </c>
    </row>
    <row r="640" spans="1:8" x14ac:dyDescent="0.25">
      <c r="A640" t="s">
        <v>642</v>
      </c>
      <c r="B640">
        <v>143082.13329999999</v>
      </c>
      <c r="C640">
        <v>162929.01850000001</v>
      </c>
      <c r="D640">
        <v>4288</v>
      </c>
      <c r="E640" s="5">
        <f t="shared" si="38"/>
        <v>33.368034818097009</v>
      </c>
      <c r="F640" s="5">
        <f t="shared" si="42"/>
        <v>-19846.885200000019</v>
      </c>
      <c r="G640" s="5">
        <f t="shared" si="39"/>
        <v>-198.4688520000002</v>
      </c>
      <c r="H640" s="5">
        <f t="shared" si="40"/>
        <v>-4.6284713619403028</v>
      </c>
    </row>
    <row r="641" spans="1:8" x14ac:dyDescent="0.25">
      <c r="A641" t="s">
        <v>643</v>
      </c>
      <c r="B641">
        <v>323548.78529999999</v>
      </c>
      <c r="C641">
        <v>368434.88589999999</v>
      </c>
      <c r="D641">
        <v>9693</v>
      </c>
      <c r="E641" s="5">
        <f t="shared" si="38"/>
        <v>33.379633271432994</v>
      </c>
      <c r="F641" s="5">
        <f t="shared" si="42"/>
        <v>-44886.100600000005</v>
      </c>
      <c r="G641" s="5">
        <f t="shared" si="39"/>
        <v>-448.86100600000003</v>
      </c>
      <c r="H641" s="5">
        <f t="shared" si="40"/>
        <v>-4.6307748478283299</v>
      </c>
    </row>
    <row r="642" spans="1:8" x14ac:dyDescent="0.25">
      <c r="A642" t="s">
        <v>644</v>
      </c>
      <c r="B642">
        <v>402312.33319999999</v>
      </c>
      <c r="C642">
        <v>459285.80450000003</v>
      </c>
      <c r="D642">
        <v>12065</v>
      </c>
      <c r="E642" s="5">
        <f t="shared" si="38"/>
        <v>33.345406813095728</v>
      </c>
      <c r="F642" s="5">
        <f t="shared" si="42"/>
        <v>-56973.471300000034</v>
      </c>
      <c r="G642" s="5">
        <f t="shared" si="39"/>
        <v>-569.73471300000028</v>
      </c>
      <c r="H642" s="5">
        <f t="shared" si="40"/>
        <v>-4.7222106340654815</v>
      </c>
    </row>
    <row r="643" spans="1:8" x14ac:dyDescent="0.25">
      <c r="A643" t="s">
        <v>645</v>
      </c>
      <c r="B643">
        <v>393635.17489999998</v>
      </c>
      <c r="C643">
        <v>448390.96580000001</v>
      </c>
      <c r="D643">
        <v>11758</v>
      </c>
      <c r="E643" s="5">
        <f t="shared" ref="E643:E706" si="43">B643/D643</f>
        <v>33.478072367749618</v>
      </c>
      <c r="F643" s="5">
        <f t="shared" si="42"/>
        <v>-54755.790900000022</v>
      </c>
      <c r="G643" s="5">
        <f t="shared" ref="G643:G706" si="44">F643/100</f>
        <v>-547.55790900000022</v>
      </c>
      <c r="H643" s="5">
        <f t="shared" ref="H643:H706" si="45">F643/D643</f>
        <v>-4.6568966575948307</v>
      </c>
    </row>
    <row r="644" spans="1:8" x14ac:dyDescent="0.25">
      <c r="A644" t="s">
        <v>646</v>
      </c>
      <c r="B644">
        <v>451100.0601</v>
      </c>
      <c r="C644">
        <v>515549.38990000001</v>
      </c>
      <c r="D644">
        <v>13508</v>
      </c>
      <c r="E644" s="5">
        <f t="shared" si="43"/>
        <v>33.395029619484752</v>
      </c>
      <c r="F644" s="5">
        <f t="shared" si="42"/>
        <v>-64449.329800000007</v>
      </c>
      <c r="G644" s="5">
        <f t="shared" si="44"/>
        <v>-644.4932980000001</v>
      </c>
      <c r="H644" s="5">
        <f t="shared" si="45"/>
        <v>-4.7711970535978683</v>
      </c>
    </row>
    <row r="645" spans="1:8" x14ac:dyDescent="0.25">
      <c r="A645" t="s">
        <v>647</v>
      </c>
      <c r="B645">
        <v>202902.6249</v>
      </c>
      <c r="C645">
        <v>232360.3272</v>
      </c>
      <c r="D645">
        <v>6085</v>
      </c>
      <c r="E645" s="5">
        <f t="shared" si="43"/>
        <v>33.34472060805259</v>
      </c>
      <c r="F645" s="5">
        <f t="shared" si="42"/>
        <v>-29457.702300000004</v>
      </c>
      <c r="G645" s="5">
        <f t="shared" si="44"/>
        <v>-294.57702300000005</v>
      </c>
      <c r="H645" s="5">
        <f t="shared" si="45"/>
        <v>-4.8410357107641753</v>
      </c>
    </row>
    <row r="646" spans="1:8" x14ac:dyDescent="0.25">
      <c r="A646" t="s">
        <v>648</v>
      </c>
      <c r="B646">
        <v>294557.64640000003</v>
      </c>
      <c r="C646">
        <v>336897.92239999998</v>
      </c>
      <c r="D646">
        <v>8828</v>
      </c>
      <c r="E646" s="5">
        <f t="shared" si="43"/>
        <v>33.366294336202991</v>
      </c>
      <c r="F646" s="5">
        <f t="shared" si="42"/>
        <v>-42340.275999999954</v>
      </c>
      <c r="G646" s="5">
        <f t="shared" si="44"/>
        <v>-423.40275999999955</v>
      </c>
      <c r="H646" s="5">
        <f t="shared" si="45"/>
        <v>-4.7961345718169408</v>
      </c>
    </row>
    <row r="647" spans="1:8" x14ac:dyDescent="0.25">
      <c r="A647" t="s">
        <v>649</v>
      </c>
      <c r="B647">
        <v>221618.32819999999</v>
      </c>
      <c r="C647">
        <v>253291.06229999999</v>
      </c>
      <c r="D647">
        <v>6636</v>
      </c>
      <c r="E647" s="5">
        <f t="shared" si="43"/>
        <v>33.39637254370102</v>
      </c>
      <c r="F647" s="5">
        <f t="shared" si="42"/>
        <v>-31672.734100000001</v>
      </c>
      <c r="G647" s="5">
        <f t="shared" si="44"/>
        <v>-316.72734100000002</v>
      </c>
      <c r="H647" s="5">
        <f t="shared" si="45"/>
        <v>-4.7728652953586499</v>
      </c>
    </row>
    <row r="648" spans="1:8" x14ac:dyDescent="0.25">
      <c r="A648" t="s">
        <v>650</v>
      </c>
      <c r="B648">
        <v>63968.38248</v>
      </c>
      <c r="C648">
        <v>61942.842680000002</v>
      </c>
      <c r="D648">
        <v>1622</v>
      </c>
      <c r="E648" s="5">
        <f t="shared" si="43"/>
        <v>39.437967003699136</v>
      </c>
      <c r="F648" s="5">
        <f t="shared" si="42"/>
        <v>2025.5397999999986</v>
      </c>
      <c r="G648" s="5">
        <f t="shared" si="44"/>
        <v>20.255397999999985</v>
      </c>
      <c r="H648" s="5">
        <f t="shared" si="45"/>
        <v>1.2487914919852026</v>
      </c>
    </row>
    <row r="649" spans="1:8" x14ac:dyDescent="0.25">
      <c r="A649" t="s">
        <v>651</v>
      </c>
      <c r="B649">
        <v>59609.544710000002</v>
      </c>
      <c r="C649">
        <v>57736.47666</v>
      </c>
      <c r="D649">
        <v>1512</v>
      </c>
      <c r="E649" s="5">
        <f t="shared" si="43"/>
        <v>39.424302056878311</v>
      </c>
      <c r="F649" s="5">
        <f t="shared" si="42"/>
        <v>1873.0680500000017</v>
      </c>
      <c r="G649" s="5">
        <f t="shared" si="44"/>
        <v>18.730680500000016</v>
      </c>
      <c r="H649" s="5">
        <f t="shared" si="45"/>
        <v>1.2388016203703716</v>
      </c>
    </row>
    <row r="650" spans="1:8" x14ac:dyDescent="0.25">
      <c r="A650" t="s">
        <v>652</v>
      </c>
      <c r="B650">
        <v>126588.253</v>
      </c>
      <c r="C650">
        <v>122622.3631</v>
      </c>
      <c r="D650">
        <v>3211</v>
      </c>
      <c r="E650" s="5">
        <f t="shared" si="43"/>
        <v>39.423311429461229</v>
      </c>
      <c r="F650" s="5">
        <f t="shared" si="42"/>
        <v>3965.8898999999947</v>
      </c>
      <c r="G650" s="5">
        <f t="shared" si="44"/>
        <v>39.658898999999948</v>
      </c>
      <c r="H650" s="5">
        <f t="shared" si="45"/>
        <v>1.2350949548427264</v>
      </c>
    </row>
    <row r="651" spans="1:8" x14ac:dyDescent="0.25">
      <c r="A651" t="s">
        <v>653</v>
      </c>
      <c r="B651">
        <v>119755.0116</v>
      </c>
      <c r="C651">
        <v>116003.6869</v>
      </c>
      <c r="D651">
        <v>3037</v>
      </c>
      <c r="E651" s="5">
        <f t="shared" si="43"/>
        <v>39.432009087915702</v>
      </c>
      <c r="F651" s="5">
        <f t="shared" si="42"/>
        <v>3751.3246999999974</v>
      </c>
      <c r="G651" s="5">
        <f t="shared" si="44"/>
        <v>37.513246999999971</v>
      </c>
      <c r="H651" s="5">
        <f t="shared" si="45"/>
        <v>1.2352073427724719</v>
      </c>
    </row>
    <row r="652" spans="1:8" x14ac:dyDescent="0.25">
      <c r="A652" t="s">
        <v>654</v>
      </c>
      <c r="B652">
        <v>57413.410479999999</v>
      </c>
      <c r="C652">
        <v>55617.584640000001</v>
      </c>
      <c r="D652">
        <v>1456</v>
      </c>
      <c r="E652" s="5">
        <f t="shared" si="43"/>
        <v>39.432287417582415</v>
      </c>
      <c r="F652" s="5">
        <f t="shared" si="42"/>
        <v>1795.8258399999977</v>
      </c>
      <c r="G652" s="5">
        <f t="shared" si="44"/>
        <v>17.958258399999977</v>
      </c>
      <c r="H652" s="5">
        <f t="shared" si="45"/>
        <v>1.2333968681318666</v>
      </c>
    </row>
    <row r="653" spans="1:8" x14ac:dyDescent="0.25">
      <c r="A653" t="s">
        <v>655</v>
      </c>
      <c r="B653">
        <v>57749.136939999997</v>
      </c>
      <c r="C653">
        <v>55933.008580000002</v>
      </c>
      <c r="D653">
        <v>1465</v>
      </c>
      <c r="E653" s="5">
        <f t="shared" si="43"/>
        <v>39.419206102389076</v>
      </c>
      <c r="F653" s="5">
        <f t="shared" si="42"/>
        <v>1816.1283599999952</v>
      </c>
      <c r="G653" s="5">
        <f t="shared" si="44"/>
        <v>18.161283599999951</v>
      </c>
      <c r="H653" s="5">
        <f t="shared" si="45"/>
        <v>1.2396780614334437</v>
      </c>
    </row>
    <row r="654" spans="1:8" x14ac:dyDescent="0.25">
      <c r="A654" t="s">
        <v>656</v>
      </c>
      <c r="B654">
        <v>40140.820030000003</v>
      </c>
      <c r="C654">
        <v>38881.08844</v>
      </c>
      <c r="D654">
        <v>1018</v>
      </c>
      <c r="E654" s="5">
        <f t="shared" si="43"/>
        <v>39.43106093320236</v>
      </c>
      <c r="F654" s="5">
        <f t="shared" si="42"/>
        <v>1259.7315900000031</v>
      </c>
      <c r="G654" s="5">
        <f t="shared" si="44"/>
        <v>12.59731590000003</v>
      </c>
      <c r="H654" s="5">
        <f t="shared" si="45"/>
        <v>1.2374573575638537</v>
      </c>
    </row>
    <row r="655" spans="1:8" x14ac:dyDescent="0.25">
      <c r="A655" t="s">
        <v>657</v>
      </c>
      <c r="B655">
        <v>42195.817360000001</v>
      </c>
      <c r="C655">
        <v>40869.249470000002</v>
      </c>
      <c r="D655">
        <v>1070</v>
      </c>
      <c r="E655" s="5">
        <f t="shared" si="43"/>
        <v>39.435343327102807</v>
      </c>
      <c r="F655" s="5">
        <f t="shared" si="42"/>
        <v>1326.5678899999984</v>
      </c>
      <c r="G655" s="5">
        <f t="shared" si="44"/>
        <v>13.265678899999985</v>
      </c>
      <c r="H655" s="5">
        <f t="shared" si="45"/>
        <v>1.2397830747663536</v>
      </c>
    </row>
    <row r="656" spans="1:8" x14ac:dyDescent="0.25">
      <c r="A656" t="s">
        <v>658</v>
      </c>
      <c r="B656">
        <v>53490.797469999998</v>
      </c>
      <c r="C656">
        <v>51799.1659</v>
      </c>
      <c r="D656">
        <v>1357</v>
      </c>
      <c r="E656" s="5">
        <f t="shared" si="43"/>
        <v>39.4184211274871</v>
      </c>
      <c r="F656" s="5">
        <f t="shared" si="42"/>
        <v>1691.6315699999977</v>
      </c>
      <c r="G656" s="5">
        <f t="shared" si="44"/>
        <v>16.916315699999977</v>
      </c>
      <c r="H656" s="5">
        <f t="shared" si="45"/>
        <v>1.2465965880618997</v>
      </c>
    </row>
    <row r="657" spans="1:8" x14ac:dyDescent="0.25">
      <c r="A657" t="s">
        <v>659</v>
      </c>
      <c r="B657">
        <v>110809.3158</v>
      </c>
      <c r="C657">
        <v>107331.98050000001</v>
      </c>
      <c r="D657">
        <v>2810</v>
      </c>
      <c r="E657" s="5">
        <f t="shared" si="43"/>
        <v>39.43392021352313</v>
      </c>
      <c r="F657" s="5">
        <f t="shared" si="42"/>
        <v>3477.3352999999915</v>
      </c>
      <c r="G657" s="5">
        <f t="shared" si="44"/>
        <v>34.773352999999915</v>
      </c>
      <c r="H657" s="5">
        <f t="shared" si="45"/>
        <v>1.2374858718861179</v>
      </c>
    </row>
    <row r="658" spans="1:8" x14ac:dyDescent="0.25">
      <c r="A658" t="s">
        <v>660</v>
      </c>
      <c r="B658">
        <v>111527.0135</v>
      </c>
      <c r="C658">
        <v>108023.6073</v>
      </c>
      <c r="D658">
        <v>2829</v>
      </c>
      <c r="E658" s="5">
        <f t="shared" si="43"/>
        <v>39.422768999646522</v>
      </c>
      <c r="F658" s="5">
        <f t="shared" si="42"/>
        <v>3503.4061999999976</v>
      </c>
      <c r="G658" s="5">
        <f t="shared" si="44"/>
        <v>35.034061999999977</v>
      </c>
      <c r="H658" s="5">
        <f t="shared" si="45"/>
        <v>1.2383903145987973</v>
      </c>
    </row>
    <row r="659" spans="1:8" x14ac:dyDescent="0.25">
      <c r="A659" t="s">
        <v>661</v>
      </c>
      <c r="B659">
        <v>59808.13867</v>
      </c>
      <c r="C659">
        <v>57937.458659999997</v>
      </c>
      <c r="D659">
        <v>1517</v>
      </c>
      <c r="E659" s="5">
        <f t="shared" si="43"/>
        <v>39.425272689518785</v>
      </c>
      <c r="F659" s="5">
        <f t="shared" si="42"/>
        <v>1870.6800100000037</v>
      </c>
      <c r="G659" s="5">
        <f t="shared" si="44"/>
        <v>18.706800100000038</v>
      </c>
      <c r="H659" s="5">
        <f t="shared" si="45"/>
        <v>1.2331443704680314</v>
      </c>
    </row>
    <row r="660" spans="1:8" x14ac:dyDescent="0.25">
      <c r="A660" t="s">
        <v>662</v>
      </c>
      <c r="B660">
        <v>55166.22623</v>
      </c>
      <c r="C660">
        <v>53436.897089999999</v>
      </c>
      <c r="D660">
        <v>1399</v>
      </c>
      <c r="E660" s="5">
        <f t="shared" si="43"/>
        <v>39.432613459614011</v>
      </c>
      <c r="F660" s="5">
        <f t="shared" si="42"/>
        <v>1729.3291400000016</v>
      </c>
      <c r="G660" s="5">
        <f t="shared" si="44"/>
        <v>17.293291400000015</v>
      </c>
      <c r="H660" s="5">
        <f t="shared" si="45"/>
        <v>1.2361180414581856</v>
      </c>
    </row>
    <row r="661" spans="1:8" x14ac:dyDescent="0.25">
      <c r="A661" t="s">
        <v>663</v>
      </c>
      <c r="B661">
        <v>42054.680469999999</v>
      </c>
      <c r="C661">
        <v>40736.150479999997</v>
      </c>
      <c r="D661">
        <v>1067</v>
      </c>
      <c r="E661" s="5">
        <f t="shared" si="43"/>
        <v>39.413946082474226</v>
      </c>
      <c r="F661" s="5">
        <f t="shared" si="42"/>
        <v>1318.5299900000027</v>
      </c>
      <c r="G661" s="5">
        <f t="shared" si="44"/>
        <v>13.185299900000027</v>
      </c>
      <c r="H661" s="5">
        <f t="shared" si="45"/>
        <v>1.2357356982193091</v>
      </c>
    </row>
    <row r="662" spans="1:8" x14ac:dyDescent="0.25">
      <c r="A662" t="s">
        <v>664</v>
      </c>
      <c r="B662">
        <v>53678.179109999997</v>
      </c>
      <c r="C662">
        <v>51999.860869999997</v>
      </c>
      <c r="D662">
        <v>1361</v>
      </c>
      <c r="E662" s="5">
        <f t="shared" si="43"/>
        <v>39.440249162380603</v>
      </c>
      <c r="F662" s="5">
        <f t="shared" si="42"/>
        <v>1678.3182400000005</v>
      </c>
      <c r="G662" s="5">
        <f t="shared" si="44"/>
        <v>16.783182400000005</v>
      </c>
      <c r="H662" s="5">
        <f t="shared" si="45"/>
        <v>1.2331508008817049</v>
      </c>
    </row>
    <row r="663" spans="1:8" x14ac:dyDescent="0.25">
      <c r="A663" t="s">
        <v>665</v>
      </c>
      <c r="B663">
        <v>55930.168640000004</v>
      </c>
      <c r="C663">
        <v>54177.690060000001</v>
      </c>
      <c r="D663">
        <v>1419</v>
      </c>
      <c r="E663" s="5">
        <f t="shared" si="43"/>
        <v>39.41519988724454</v>
      </c>
      <c r="F663" s="5">
        <f t="shared" si="42"/>
        <v>1752.4785800000027</v>
      </c>
      <c r="G663" s="5">
        <f t="shared" si="44"/>
        <v>17.524785800000029</v>
      </c>
      <c r="H663" s="5">
        <f t="shared" si="45"/>
        <v>1.2350095701198045</v>
      </c>
    </row>
    <row r="664" spans="1:8" x14ac:dyDescent="0.25">
      <c r="A664" t="s">
        <v>666</v>
      </c>
      <c r="B664">
        <v>185771.00150000001</v>
      </c>
      <c r="C664">
        <v>192527.011</v>
      </c>
      <c r="D664">
        <v>5042</v>
      </c>
      <c r="E664" s="5">
        <f t="shared" si="43"/>
        <v>36.844704779849266</v>
      </c>
      <c r="F664" s="5">
        <f t="shared" si="42"/>
        <v>-6756.0094999999856</v>
      </c>
      <c r="G664" s="5">
        <f t="shared" si="44"/>
        <v>-67.560094999999862</v>
      </c>
      <c r="H664" s="5">
        <f t="shared" si="45"/>
        <v>-1.3399463506544993</v>
      </c>
    </row>
    <row r="665" spans="1:8" x14ac:dyDescent="0.25">
      <c r="A665" t="s">
        <v>667</v>
      </c>
      <c r="B665">
        <v>253116.91320000001</v>
      </c>
      <c r="C665">
        <v>262409.56939999998</v>
      </c>
      <c r="D665">
        <v>6872</v>
      </c>
      <c r="E665" s="5">
        <f t="shared" si="43"/>
        <v>36.833078172293369</v>
      </c>
      <c r="F665" s="5">
        <f t="shared" si="42"/>
        <v>-9292.6561999999685</v>
      </c>
      <c r="G665" s="5">
        <f t="shared" si="44"/>
        <v>-92.926561999999691</v>
      </c>
      <c r="H665" s="5">
        <f t="shared" si="45"/>
        <v>-1.3522491559953389</v>
      </c>
    </row>
    <row r="666" spans="1:8" x14ac:dyDescent="0.25">
      <c r="A666" t="s">
        <v>668</v>
      </c>
      <c r="B666">
        <v>118618.4537</v>
      </c>
      <c r="C666">
        <v>122915.26700000001</v>
      </c>
      <c r="D666">
        <v>3218</v>
      </c>
      <c r="E666" s="5">
        <f t="shared" si="43"/>
        <v>36.860924083281539</v>
      </c>
      <c r="F666" s="5">
        <f t="shared" ref="F666:F729" si="46" xml:space="preserve"> B666-C666</f>
        <v>-4296.8133000000089</v>
      </c>
      <c r="G666" s="5">
        <f t="shared" si="44"/>
        <v>-42.968133000000087</v>
      </c>
      <c r="H666" s="5">
        <f t="shared" si="45"/>
        <v>-1.3352434120571812</v>
      </c>
    </row>
    <row r="667" spans="1:8" x14ac:dyDescent="0.25">
      <c r="A667" t="s">
        <v>669</v>
      </c>
      <c r="B667">
        <v>123320.784</v>
      </c>
      <c r="C667">
        <v>128133.77860000001</v>
      </c>
      <c r="D667">
        <v>3347</v>
      </c>
      <c r="E667" s="5">
        <f t="shared" si="43"/>
        <v>36.84517000298775</v>
      </c>
      <c r="F667" s="5">
        <f t="shared" si="46"/>
        <v>-4812.9946000000054</v>
      </c>
      <c r="G667" s="5">
        <f t="shared" si="44"/>
        <v>-48.129946000000054</v>
      </c>
      <c r="H667" s="5">
        <f t="shared" si="45"/>
        <v>-1.4380025694651943</v>
      </c>
    </row>
    <row r="668" spans="1:8" x14ac:dyDescent="0.25">
      <c r="A668" t="s">
        <v>670</v>
      </c>
      <c r="B668">
        <v>117051.2772</v>
      </c>
      <c r="C668">
        <v>122175.0003</v>
      </c>
      <c r="D668">
        <v>3177</v>
      </c>
      <c r="E668" s="5">
        <f t="shared" si="43"/>
        <v>36.843335599622286</v>
      </c>
      <c r="F668" s="5">
        <f t="shared" si="46"/>
        <v>-5123.7231000000029</v>
      </c>
      <c r="G668" s="5">
        <f t="shared" si="44"/>
        <v>-51.23723100000003</v>
      </c>
      <c r="H668" s="5">
        <f t="shared" si="45"/>
        <v>-1.6127551463644958</v>
      </c>
    </row>
    <row r="669" spans="1:8" x14ac:dyDescent="0.25">
      <c r="A669" t="s">
        <v>671</v>
      </c>
      <c r="B669">
        <v>159299.98910000001</v>
      </c>
      <c r="C669">
        <v>174699.07670000001</v>
      </c>
      <c r="D669">
        <v>4532</v>
      </c>
      <c r="E669" s="5">
        <f t="shared" si="43"/>
        <v>35.150041725507506</v>
      </c>
      <c r="F669" s="5">
        <f t="shared" si="46"/>
        <v>-15399.087599999999</v>
      </c>
      <c r="G669" s="5">
        <f t="shared" si="44"/>
        <v>-153.99087599999999</v>
      </c>
      <c r="H669" s="5">
        <f t="shared" si="45"/>
        <v>-3.3978569285083844</v>
      </c>
    </row>
    <row r="670" spans="1:8" x14ac:dyDescent="0.25">
      <c r="A670" t="s">
        <v>672</v>
      </c>
      <c r="B670">
        <v>119047.4099</v>
      </c>
      <c r="C670">
        <v>124349.26549999999</v>
      </c>
      <c r="D670">
        <v>3231</v>
      </c>
      <c r="E670" s="5">
        <f t="shared" si="43"/>
        <v>36.845376013618072</v>
      </c>
      <c r="F670" s="5">
        <f t="shared" si="46"/>
        <v>-5301.8555999999953</v>
      </c>
      <c r="G670" s="5">
        <f t="shared" si="44"/>
        <v>-53.018555999999954</v>
      </c>
      <c r="H670" s="5">
        <f t="shared" si="45"/>
        <v>-1.6409333333333318</v>
      </c>
    </row>
    <row r="671" spans="1:8" x14ac:dyDescent="0.25">
      <c r="A671" t="s">
        <v>673</v>
      </c>
      <c r="B671">
        <v>285081.9743</v>
      </c>
      <c r="C671">
        <v>297627.69069999998</v>
      </c>
      <c r="D671">
        <v>7731</v>
      </c>
      <c r="E671" s="5">
        <f t="shared" si="43"/>
        <v>36.875174531108527</v>
      </c>
      <c r="F671" s="5">
        <f t="shared" si="46"/>
        <v>-12545.716399999976</v>
      </c>
      <c r="G671" s="5">
        <f t="shared" si="44"/>
        <v>-125.45716399999975</v>
      </c>
      <c r="H671" s="5">
        <f t="shared" si="45"/>
        <v>-1.6227805458543494</v>
      </c>
    </row>
    <row r="672" spans="1:8" x14ac:dyDescent="0.25">
      <c r="A672" t="s">
        <v>674</v>
      </c>
      <c r="B672">
        <v>391656.21260000003</v>
      </c>
      <c r="C672">
        <v>429832.83480000001</v>
      </c>
      <c r="D672">
        <v>11148</v>
      </c>
      <c r="E672" s="5">
        <f t="shared" si="43"/>
        <v>35.132419501255832</v>
      </c>
      <c r="F672" s="5">
        <f t="shared" si="46"/>
        <v>-38176.622199999983</v>
      </c>
      <c r="G672" s="5">
        <f t="shared" si="44"/>
        <v>-381.76622199999986</v>
      </c>
      <c r="H672" s="5">
        <f t="shared" si="45"/>
        <v>-3.4245265697883012</v>
      </c>
    </row>
    <row r="673" spans="1:8" x14ac:dyDescent="0.25">
      <c r="A673" t="s">
        <v>675</v>
      </c>
      <c r="B673">
        <v>274814.7781</v>
      </c>
      <c r="C673">
        <v>287978.17489999998</v>
      </c>
      <c r="D673">
        <v>7459</v>
      </c>
      <c r="E673" s="5">
        <f t="shared" si="43"/>
        <v>36.843380895562404</v>
      </c>
      <c r="F673" s="5">
        <f t="shared" si="46"/>
        <v>-13163.396799999988</v>
      </c>
      <c r="G673" s="5">
        <f t="shared" si="44"/>
        <v>-131.63396799999987</v>
      </c>
      <c r="H673" s="5">
        <f t="shared" si="45"/>
        <v>-1.7647669660812424</v>
      </c>
    </row>
    <row r="674" spans="1:8" x14ac:dyDescent="0.25">
      <c r="A674" t="s">
        <v>676</v>
      </c>
      <c r="B674">
        <v>269555.02309999999</v>
      </c>
      <c r="C674">
        <v>281915.19209999999</v>
      </c>
      <c r="D674">
        <v>7316</v>
      </c>
      <c r="E674" s="5">
        <f t="shared" si="43"/>
        <v>36.844590363586661</v>
      </c>
      <c r="F674" s="5">
        <f t="shared" si="46"/>
        <v>-12360.168999999994</v>
      </c>
      <c r="G674" s="5">
        <f t="shared" si="44"/>
        <v>-123.60168999999995</v>
      </c>
      <c r="H674" s="5">
        <f t="shared" si="45"/>
        <v>-1.6894708857299063</v>
      </c>
    </row>
    <row r="675" spans="1:8" x14ac:dyDescent="0.25">
      <c r="A675" t="s">
        <v>677</v>
      </c>
      <c r="B675">
        <v>192001.03460000001</v>
      </c>
      <c r="C675">
        <v>201125.77549999999</v>
      </c>
      <c r="D675">
        <v>5211</v>
      </c>
      <c r="E675" s="5">
        <f t="shared" si="43"/>
        <v>36.845333832277873</v>
      </c>
      <c r="F675" s="5">
        <f t="shared" si="46"/>
        <v>-9124.7408999999752</v>
      </c>
      <c r="G675" s="5">
        <f t="shared" si="44"/>
        <v>-91.247408999999749</v>
      </c>
      <c r="H675" s="5">
        <f t="shared" si="45"/>
        <v>-1.7510537132987862</v>
      </c>
    </row>
    <row r="676" spans="1:8" x14ac:dyDescent="0.25">
      <c r="A676" t="s">
        <v>678</v>
      </c>
      <c r="B676">
        <v>201367.78700000001</v>
      </c>
      <c r="C676">
        <v>220579.99559999999</v>
      </c>
      <c r="D676">
        <v>5731</v>
      </c>
      <c r="E676" s="5">
        <f t="shared" si="43"/>
        <v>35.136588204501834</v>
      </c>
      <c r="F676" s="5">
        <f t="shared" si="46"/>
        <v>-19212.208599999984</v>
      </c>
      <c r="G676" s="5">
        <f t="shared" si="44"/>
        <v>-192.12208599999983</v>
      </c>
      <c r="H676" s="5">
        <f t="shared" si="45"/>
        <v>-3.3523309370092451</v>
      </c>
    </row>
    <row r="677" spans="1:8" x14ac:dyDescent="0.25">
      <c r="A677" t="s">
        <v>679</v>
      </c>
      <c r="B677">
        <v>111874.55899999999</v>
      </c>
      <c r="C677">
        <v>116637.0343</v>
      </c>
      <c r="D677">
        <v>3036</v>
      </c>
      <c r="E677" s="5">
        <f t="shared" si="43"/>
        <v>36.849327733860342</v>
      </c>
      <c r="F677" s="5">
        <f t="shared" si="46"/>
        <v>-4762.4753000000055</v>
      </c>
      <c r="G677" s="5">
        <f t="shared" si="44"/>
        <v>-47.624753000000055</v>
      </c>
      <c r="H677" s="5">
        <f t="shared" si="45"/>
        <v>-1.5686677536231903</v>
      </c>
    </row>
    <row r="678" spans="1:8" x14ac:dyDescent="0.25">
      <c r="A678" t="s">
        <v>680</v>
      </c>
      <c r="B678">
        <v>214540.33309999999</v>
      </c>
      <c r="C678">
        <v>223738.4327</v>
      </c>
      <c r="D678">
        <v>5822</v>
      </c>
      <c r="E678" s="5">
        <f t="shared" si="43"/>
        <v>36.849936980419095</v>
      </c>
      <c r="F678" s="5">
        <f t="shared" si="46"/>
        <v>-9198.0996000000159</v>
      </c>
      <c r="G678" s="5">
        <f t="shared" si="44"/>
        <v>-91.980996000000161</v>
      </c>
      <c r="H678" s="5">
        <f t="shared" si="45"/>
        <v>-1.5798865681896284</v>
      </c>
    </row>
    <row r="679" spans="1:8" x14ac:dyDescent="0.25">
      <c r="A679" t="s">
        <v>681</v>
      </c>
      <c r="B679">
        <v>280264.24449999997</v>
      </c>
      <c r="C679">
        <v>306935.16039999999</v>
      </c>
      <c r="D679">
        <v>7987</v>
      </c>
      <c r="E679" s="5">
        <f t="shared" si="43"/>
        <v>35.09005189683235</v>
      </c>
      <c r="F679" s="5">
        <f t="shared" si="46"/>
        <v>-26670.915900000022</v>
      </c>
      <c r="G679" s="5">
        <f t="shared" si="44"/>
        <v>-266.70915900000023</v>
      </c>
      <c r="H679" s="5">
        <f t="shared" si="45"/>
        <v>-3.3392908351070516</v>
      </c>
    </row>
    <row r="680" spans="1:8" x14ac:dyDescent="0.25">
      <c r="A680" t="s">
        <v>682</v>
      </c>
      <c r="B680">
        <v>134136.72870000001</v>
      </c>
      <c r="C680">
        <v>140236.3033</v>
      </c>
      <c r="D680">
        <v>3640</v>
      </c>
      <c r="E680" s="5">
        <f t="shared" si="43"/>
        <v>36.850749642857146</v>
      </c>
      <c r="F680" s="5">
        <f t="shared" si="46"/>
        <v>-6099.5745999999926</v>
      </c>
      <c r="G680" s="5">
        <f t="shared" si="44"/>
        <v>-60.995745999999926</v>
      </c>
      <c r="H680" s="5">
        <f t="shared" si="45"/>
        <v>-1.6757073076923057</v>
      </c>
    </row>
    <row r="681" spans="1:8" x14ac:dyDescent="0.25">
      <c r="A681" t="s">
        <v>683</v>
      </c>
      <c r="B681">
        <v>94243.465530000001</v>
      </c>
      <c r="C681">
        <v>89949.304170000003</v>
      </c>
      <c r="D681">
        <v>2338</v>
      </c>
      <c r="E681" s="5">
        <f t="shared" si="43"/>
        <v>40.309437780153978</v>
      </c>
      <c r="F681" s="5">
        <f t="shared" si="46"/>
        <v>4294.1613599999982</v>
      </c>
      <c r="G681" s="5">
        <f t="shared" si="44"/>
        <v>42.941613599999982</v>
      </c>
      <c r="H681" s="5">
        <f t="shared" si="45"/>
        <v>1.8366815055603072</v>
      </c>
    </row>
    <row r="682" spans="1:8" x14ac:dyDescent="0.25">
      <c r="A682" t="s">
        <v>684</v>
      </c>
      <c r="B682">
        <v>131436.1979</v>
      </c>
      <c r="C682">
        <v>143823.38639999999</v>
      </c>
      <c r="D682">
        <v>3744</v>
      </c>
      <c r="E682" s="5">
        <f t="shared" si="43"/>
        <v>35.105822088675211</v>
      </c>
      <c r="F682" s="5">
        <f t="shared" si="46"/>
        <v>-12387.188499999989</v>
      </c>
      <c r="G682" s="5">
        <f t="shared" si="44"/>
        <v>-123.87188499999989</v>
      </c>
      <c r="H682" s="5">
        <f t="shared" si="45"/>
        <v>-3.3085439369658092</v>
      </c>
    </row>
    <row r="683" spans="1:8" x14ac:dyDescent="0.25">
      <c r="A683" t="s">
        <v>685</v>
      </c>
      <c r="B683">
        <v>147893.94149999999</v>
      </c>
      <c r="C683">
        <v>161665.60060000001</v>
      </c>
      <c r="D683">
        <v>4216</v>
      </c>
      <c r="E683" s="5">
        <f t="shared" si="43"/>
        <v>35.079208135673618</v>
      </c>
      <c r="F683" s="5">
        <f t="shared" si="46"/>
        <v>-13771.659100000019</v>
      </c>
      <c r="G683" s="5">
        <f t="shared" si="44"/>
        <v>-137.71659100000019</v>
      </c>
      <c r="H683" s="5">
        <f t="shared" si="45"/>
        <v>-3.2665225569260006</v>
      </c>
    </row>
    <row r="684" spans="1:8" x14ac:dyDescent="0.25">
      <c r="A684" t="s">
        <v>686</v>
      </c>
      <c r="B684">
        <v>140238.39050000001</v>
      </c>
      <c r="C684">
        <v>153481.4534</v>
      </c>
      <c r="D684">
        <v>4000</v>
      </c>
      <c r="E684" s="5">
        <f t="shared" si="43"/>
        <v>35.059597625000002</v>
      </c>
      <c r="F684" s="5">
        <f t="shared" si="46"/>
        <v>-13243.06289999999</v>
      </c>
      <c r="G684" s="5">
        <f t="shared" si="44"/>
        <v>-132.4306289999999</v>
      </c>
      <c r="H684" s="5">
        <f t="shared" si="45"/>
        <v>-3.3107657249999973</v>
      </c>
    </row>
    <row r="685" spans="1:8" x14ac:dyDescent="0.25">
      <c r="A685" t="s">
        <v>687</v>
      </c>
      <c r="B685">
        <v>358183.77399999998</v>
      </c>
      <c r="C685">
        <v>391310.32069999998</v>
      </c>
      <c r="D685">
        <v>10204</v>
      </c>
      <c r="E685" s="5">
        <f t="shared" si="43"/>
        <v>35.10229067032536</v>
      </c>
      <c r="F685" s="5">
        <f t="shared" si="46"/>
        <v>-33126.546700000006</v>
      </c>
      <c r="G685" s="5">
        <f t="shared" si="44"/>
        <v>-331.26546700000006</v>
      </c>
      <c r="H685" s="5">
        <f t="shared" si="45"/>
        <v>-3.2464275480203848</v>
      </c>
    </row>
    <row r="686" spans="1:8" x14ac:dyDescent="0.25">
      <c r="A686" t="s">
        <v>688</v>
      </c>
      <c r="B686">
        <v>377937.13870000001</v>
      </c>
      <c r="C686">
        <v>413010.22899999999</v>
      </c>
      <c r="D686">
        <v>10769</v>
      </c>
      <c r="E686" s="5">
        <f t="shared" si="43"/>
        <v>35.094914913176709</v>
      </c>
      <c r="F686" s="5">
        <f t="shared" si="46"/>
        <v>-35073.090299999982</v>
      </c>
      <c r="G686" s="5">
        <f t="shared" si="44"/>
        <v>-350.73090299999984</v>
      </c>
      <c r="H686" s="5">
        <f t="shared" si="45"/>
        <v>-3.2568567462159885</v>
      </c>
    </row>
    <row r="687" spans="1:8" x14ac:dyDescent="0.25">
      <c r="A687" t="s">
        <v>689</v>
      </c>
      <c r="B687">
        <v>168729.96239999999</v>
      </c>
      <c r="C687">
        <v>184673.48850000001</v>
      </c>
      <c r="D687">
        <v>4803</v>
      </c>
      <c r="E687" s="5">
        <f t="shared" si="43"/>
        <v>35.130119175515304</v>
      </c>
      <c r="F687" s="5">
        <f t="shared" si="46"/>
        <v>-15943.526100000017</v>
      </c>
      <c r="G687" s="5">
        <f t="shared" si="44"/>
        <v>-159.43526100000017</v>
      </c>
      <c r="H687" s="5">
        <f t="shared" si="45"/>
        <v>-3.3194932542161184</v>
      </c>
    </row>
    <row r="688" spans="1:8" x14ac:dyDescent="0.25">
      <c r="A688" t="s">
        <v>690</v>
      </c>
      <c r="B688">
        <v>177192.5698</v>
      </c>
      <c r="C688">
        <v>193615.30369999999</v>
      </c>
      <c r="D688">
        <v>5042</v>
      </c>
      <c r="E688" s="5">
        <f t="shared" si="43"/>
        <v>35.143310154700515</v>
      </c>
      <c r="F688" s="5">
        <f t="shared" si="46"/>
        <v>-16422.733899999992</v>
      </c>
      <c r="G688" s="5">
        <f t="shared" si="44"/>
        <v>-164.22733899999992</v>
      </c>
      <c r="H688" s="5">
        <f t="shared" si="45"/>
        <v>-3.2571864141213789</v>
      </c>
    </row>
    <row r="689" spans="1:8" x14ac:dyDescent="0.25">
      <c r="A689" t="s">
        <v>691</v>
      </c>
      <c r="B689">
        <v>152368.74909999999</v>
      </c>
      <c r="C689">
        <v>166625.36499999999</v>
      </c>
      <c r="D689">
        <v>4342</v>
      </c>
      <c r="E689" s="5">
        <f t="shared" si="43"/>
        <v>35.091835352372179</v>
      </c>
      <c r="F689" s="5">
        <f t="shared" si="46"/>
        <v>-14256.615900000004</v>
      </c>
      <c r="G689" s="5">
        <f t="shared" si="44"/>
        <v>-142.56615900000006</v>
      </c>
      <c r="H689" s="5">
        <f t="shared" si="45"/>
        <v>-3.2834214417319219</v>
      </c>
    </row>
    <row r="690" spans="1:8" x14ac:dyDescent="0.25">
      <c r="A690" t="s">
        <v>692</v>
      </c>
      <c r="B690">
        <v>147471.80489999999</v>
      </c>
      <c r="C690">
        <v>161402.91870000001</v>
      </c>
      <c r="D690">
        <v>4202</v>
      </c>
      <c r="E690" s="5">
        <f t="shared" si="43"/>
        <v>35.095622298905283</v>
      </c>
      <c r="F690" s="5">
        <f t="shared" si="46"/>
        <v>-13931.113800000021</v>
      </c>
      <c r="G690" s="5">
        <f t="shared" si="44"/>
        <v>-139.3111380000002</v>
      </c>
      <c r="H690" s="5">
        <f t="shared" si="45"/>
        <v>-3.3153531175630704</v>
      </c>
    </row>
    <row r="691" spans="1:8" x14ac:dyDescent="0.25">
      <c r="A691" t="s">
        <v>693</v>
      </c>
      <c r="B691">
        <v>145697.152</v>
      </c>
      <c r="C691">
        <v>159317.60939999999</v>
      </c>
      <c r="D691">
        <v>4151</v>
      </c>
      <c r="E691" s="5">
        <f t="shared" si="43"/>
        <v>35.099289809684414</v>
      </c>
      <c r="F691" s="5">
        <f t="shared" si="46"/>
        <v>-13620.457399999985</v>
      </c>
      <c r="G691" s="5">
        <f t="shared" si="44"/>
        <v>-136.20457399999984</v>
      </c>
      <c r="H691" s="5">
        <f t="shared" si="45"/>
        <v>-3.2812472657191001</v>
      </c>
    </row>
    <row r="692" spans="1:8" x14ac:dyDescent="0.25">
      <c r="A692" t="s">
        <v>694</v>
      </c>
      <c r="B692">
        <v>301033.9865</v>
      </c>
      <c r="C692">
        <v>328965.1433</v>
      </c>
      <c r="D692">
        <v>8567</v>
      </c>
      <c r="E692" s="5">
        <f t="shared" si="43"/>
        <v>35.138786798179062</v>
      </c>
      <c r="F692" s="5">
        <f t="shared" si="46"/>
        <v>-27931.156799999997</v>
      </c>
      <c r="G692" s="5">
        <f t="shared" si="44"/>
        <v>-279.31156799999997</v>
      </c>
      <c r="H692" s="5">
        <f t="shared" si="45"/>
        <v>-3.2603194583868329</v>
      </c>
    </row>
    <row r="693" spans="1:8" x14ac:dyDescent="0.25">
      <c r="A693" t="s">
        <v>695</v>
      </c>
      <c r="B693">
        <v>309518.07209999999</v>
      </c>
      <c r="C693">
        <v>338720.02360000001</v>
      </c>
      <c r="D693">
        <v>8811</v>
      </c>
      <c r="E693" s="5">
        <f t="shared" si="43"/>
        <v>35.128597446373853</v>
      </c>
      <c r="F693" s="5">
        <f t="shared" si="46"/>
        <v>-29201.951500000025</v>
      </c>
      <c r="G693" s="5">
        <f t="shared" si="44"/>
        <v>-292.01951500000024</v>
      </c>
      <c r="H693" s="5">
        <f t="shared" si="45"/>
        <v>-3.314260753603453</v>
      </c>
    </row>
    <row r="694" spans="1:8" x14ac:dyDescent="0.25">
      <c r="A694" t="s">
        <v>696</v>
      </c>
      <c r="B694">
        <v>152504.6317</v>
      </c>
      <c r="C694">
        <v>167600.65090000001</v>
      </c>
      <c r="D694">
        <v>4345</v>
      </c>
      <c r="E694" s="5">
        <f t="shared" si="43"/>
        <v>35.098879562715766</v>
      </c>
      <c r="F694" s="5">
        <f t="shared" si="46"/>
        <v>-15096.01920000001</v>
      </c>
      <c r="G694" s="5">
        <f t="shared" si="44"/>
        <v>-150.96019200000009</v>
      </c>
      <c r="H694" s="5">
        <f t="shared" si="45"/>
        <v>-3.4743427387802095</v>
      </c>
    </row>
    <row r="695" spans="1:8" x14ac:dyDescent="0.25">
      <c r="A695" t="s">
        <v>697</v>
      </c>
      <c r="B695">
        <v>79711.583410000007</v>
      </c>
      <c r="C695">
        <v>74375.788709999993</v>
      </c>
      <c r="D695">
        <v>1937</v>
      </c>
      <c r="E695" s="5">
        <f t="shared" si="43"/>
        <v>41.152082297367066</v>
      </c>
      <c r="F695" s="5">
        <f t="shared" si="46"/>
        <v>5335.7947000000131</v>
      </c>
      <c r="G695" s="5">
        <f t="shared" si="44"/>
        <v>53.357947000000131</v>
      </c>
      <c r="H695" s="5">
        <f t="shared" si="45"/>
        <v>2.754669437274142</v>
      </c>
    </row>
    <row r="696" spans="1:8" x14ac:dyDescent="0.25">
      <c r="A696" t="s">
        <v>698</v>
      </c>
      <c r="B696">
        <v>111021.37910000001</v>
      </c>
      <c r="C696">
        <v>121456.524</v>
      </c>
      <c r="D696">
        <v>3160</v>
      </c>
      <c r="E696" s="5">
        <f t="shared" si="43"/>
        <v>35.133347816455696</v>
      </c>
      <c r="F696" s="5">
        <f t="shared" si="46"/>
        <v>-10435.144899999999</v>
      </c>
      <c r="G696" s="5">
        <f t="shared" si="44"/>
        <v>-104.35144899999999</v>
      </c>
      <c r="H696" s="5">
        <f t="shared" si="45"/>
        <v>-3.3022610443037972</v>
      </c>
    </row>
    <row r="697" spans="1:8" x14ac:dyDescent="0.25">
      <c r="A697" t="s">
        <v>699</v>
      </c>
      <c r="B697">
        <v>243161.2592</v>
      </c>
      <c r="C697">
        <v>266054.36989999999</v>
      </c>
      <c r="D697">
        <v>6924</v>
      </c>
      <c r="E697" s="5">
        <f t="shared" si="43"/>
        <v>35.118610514153666</v>
      </c>
      <c r="F697" s="5">
        <f t="shared" si="46"/>
        <v>-22893.11069999999</v>
      </c>
      <c r="G697" s="5">
        <f t="shared" si="44"/>
        <v>-228.93110699999991</v>
      </c>
      <c r="H697" s="5">
        <f t="shared" si="45"/>
        <v>-3.306341811091853</v>
      </c>
    </row>
    <row r="698" spans="1:8" x14ac:dyDescent="0.25">
      <c r="A698" t="s">
        <v>700</v>
      </c>
      <c r="B698">
        <v>311443.18119999999</v>
      </c>
      <c r="C698">
        <v>355343.87180000002</v>
      </c>
      <c r="D698">
        <v>9273</v>
      </c>
      <c r="E698" s="5">
        <f t="shared" si="43"/>
        <v>33.586021913080984</v>
      </c>
      <c r="F698" s="5">
        <f t="shared" si="46"/>
        <v>-43900.690600000031</v>
      </c>
      <c r="G698" s="5">
        <f t="shared" si="44"/>
        <v>-439.0069060000003</v>
      </c>
      <c r="H698" s="5">
        <f t="shared" si="45"/>
        <v>-4.7342489593443364</v>
      </c>
    </row>
    <row r="699" spans="1:8" x14ac:dyDescent="0.25">
      <c r="A699" t="s">
        <v>701</v>
      </c>
      <c r="B699">
        <v>375876.0134</v>
      </c>
      <c r="C699">
        <v>431325.68670000002</v>
      </c>
      <c r="D699">
        <v>11257</v>
      </c>
      <c r="E699" s="5">
        <f t="shared" si="43"/>
        <v>33.390424926712271</v>
      </c>
      <c r="F699" s="5">
        <f t="shared" si="46"/>
        <v>-55449.673300000024</v>
      </c>
      <c r="G699" s="5">
        <f t="shared" si="44"/>
        <v>-554.49673300000029</v>
      </c>
      <c r="H699" s="5">
        <f t="shared" si="45"/>
        <v>-4.9257949098338836</v>
      </c>
    </row>
    <row r="700" spans="1:8" x14ac:dyDescent="0.25">
      <c r="A700" t="s">
        <v>702</v>
      </c>
      <c r="B700">
        <v>434639.65899999999</v>
      </c>
      <c r="C700">
        <v>498895.61859999999</v>
      </c>
      <c r="D700">
        <v>13019</v>
      </c>
      <c r="E700" s="5">
        <f t="shared" si="43"/>
        <v>33.385026422920347</v>
      </c>
      <c r="F700" s="5">
        <f t="shared" si="46"/>
        <v>-64255.959600000002</v>
      </c>
      <c r="G700" s="5">
        <f t="shared" si="44"/>
        <v>-642.55959600000006</v>
      </c>
      <c r="H700" s="5">
        <f t="shared" si="45"/>
        <v>-4.9355526230893307</v>
      </c>
    </row>
    <row r="701" spans="1:8" x14ac:dyDescent="0.25">
      <c r="A701" t="s">
        <v>703</v>
      </c>
      <c r="B701">
        <v>238637.81640000001</v>
      </c>
      <c r="C701">
        <v>274093.57799999998</v>
      </c>
      <c r="D701">
        <v>7139</v>
      </c>
      <c r="E701" s="5">
        <f t="shared" si="43"/>
        <v>33.427345062333664</v>
      </c>
      <c r="F701" s="5">
        <f t="shared" si="46"/>
        <v>-35455.761599999969</v>
      </c>
      <c r="G701" s="5">
        <f t="shared" si="44"/>
        <v>-354.55761599999971</v>
      </c>
      <c r="H701" s="5">
        <f t="shared" si="45"/>
        <v>-4.9664885278050104</v>
      </c>
    </row>
    <row r="702" spans="1:8" x14ac:dyDescent="0.25">
      <c r="A702" t="s">
        <v>704</v>
      </c>
      <c r="B702">
        <v>260653.66699999999</v>
      </c>
      <c r="C702">
        <v>283981.1507</v>
      </c>
      <c r="D702">
        <v>7423</v>
      </c>
      <c r="E702" s="5">
        <f t="shared" si="43"/>
        <v>35.114329381651622</v>
      </c>
      <c r="F702" s="5">
        <f t="shared" si="46"/>
        <v>-23327.483700000012</v>
      </c>
      <c r="G702" s="5">
        <f t="shared" si="44"/>
        <v>-233.2748370000001</v>
      </c>
      <c r="H702" s="5">
        <f t="shared" si="45"/>
        <v>-3.1425951367371696</v>
      </c>
    </row>
    <row r="703" spans="1:8" x14ac:dyDescent="0.25">
      <c r="A703" t="s">
        <v>705</v>
      </c>
      <c r="B703">
        <v>262394.78000000003</v>
      </c>
      <c r="C703">
        <v>285838.55680000002</v>
      </c>
      <c r="D703">
        <v>7474</v>
      </c>
      <c r="E703" s="5">
        <f t="shared" si="43"/>
        <v>35.107677281241642</v>
      </c>
      <c r="F703" s="5">
        <f t="shared" si="46"/>
        <v>-23443.776799999992</v>
      </c>
      <c r="G703" s="5">
        <f t="shared" si="44"/>
        <v>-234.43776799999992</v>
      </c>
      <c r="H703" s="5">
        <f t="shared" si="45"/>
        <v>-3.1367108375702424</v>
      </c>
    </row>
    <row r="704" spans="1:8" x14ac:dyDescent="0.25">
      <c r="A704" t="s">
        <v>706</v>
      </c>
      <c r="B704">
        <v>248437.7113</v>
      </c>
      <c r="C704">
        <v>269807.62040000001</v>
      </c>
      <c r="D704">
        <v>7056</v>
      </c>
      <c r="E704" s="5">
        <f t="shared" si="43"/>
        <v>35.209426204648523</v>
      </c>
      <c r="F704" s="5">
        <f t="shared" si="46"/>
        <v>-21369.909100000019</v>
      </c>
      <c r="G704" s="5">
        <f t="shared" si="44"/>
        <v>-213.69909100000018</v>
      </c>
      <c r="H704" s="5">
        <f t="shared" si="45"/>
        <v>-3.0286152352607738</v>
      </c>
    </row>
    <row r="705" spans="1:8" x14ac:dyDescent="0.25">
      <c r="A705" t="s">
        <v>707</v>
      </c>
      <c r="B705">
        <v>201048.83050000001</v>
      </c>
      <c r="C705">
        <v>219110.39319999999</v>
      </c>
      <c r="D705">
        <v>5732</v>
      </c>
      <c r="E705" s="5">
        <f t="shared" si="43"/>
        <v>35.074813415910675</v>
      </c>
      <c r="F705" s="5">
        <f t="shared" si="46"/>
        <v>-18061.56269999998</v>
      </c>
      <c r="G705" s="5">
        <f t="shared" si="44"/>
        <v>-180.61562699999979</v>
      </c>
      <c r="H705" s="5">
        <f t="shared" si="45"/>
        <v>-3.1510053558967166</v>
      </c>
    </row>
    <row r="706" spans="1:8" x14ac:dyDescent="0.25">
      <c r="A706" t="s">
        <v>708</v>
      </c>
      <c r="B706">
        <v>317690.76089999999</v>
      </c>
      <c r="C706">
        <v>345449.52990000002</v>
      </c>
      <c r="D706">
        <v>9038</v>
      </c>
      <c r="E706" s="5">
        <f t="shared" si="43"/>
        <v>35.150559957955302</v>
      </c>
      <c r="F706" s="5">
        <f t="shared" si="46"/>
        <v>-27758.769000000029</v>
      </c>
      <c r="G706" s="5">
        <f t="shared" si="44"/>
        <v>-277.58769000000029</v>
      </c>
      <c r="H706" s="5">
        <f t="shared" si="45"/>
        <v>-3.0713397875636237</v>
      </c>
    </row>
    <row r="707" spans="1:8" x14ac:dyDescent="0.25">
      <c r="A707" t="s">
        <v>709</v>
      </c>
      <c r="B707">
        <v>378527.8726</v>
      </c>
      <c r="C707">
        <v>410385.03700000001</v>
      </c>
      <c r="D707">
        <v>10737</v>
      </c>
      <c r="E707" s="5">
        <f t="shared" ref="E707:E770" si="47">B707/D707</f>
        <v>35.254528508894474</v>
      </c>
      <c r="F707" s="5">
        <f t="shared" si="46"/>
        <v>-31857.164400000009</v>
      </c>
      <c r="G707" s="5">
        <f t="shared" ref="G707:G770" si="48">F707/100</f>
        <v>-318.57164400000011</v>
      </c>
      <c r="H707" s="5">
        <f t="shared" ref="H707:H770" si="49">F707/D707</f>
        <v>-2.9670452081587042</v>
      </c>
    </row>
    <row r="708" spans="1:8" x14ac:dyDescent="0.25">
      <c r="A708" t="s">
        <v>710</v>
      </c>
      <c r="B708">
        <v>195425.39110000001</v>
      </c>
      <c r="C708">
        <v>210461.38620000001</v>
      </c>
      <c r="D708">
        <v>5505</v>
      </c>
      <c r="E708" s="5">
        <f t="shared" si="47"/>
        <v>35.499616911898279</v>
      </c>
      <c r="F708" s="5">
        <f t="shared" si="46"/>
        <v>-15035.9951</v>
      </c>
      <c r="G708" s="5">
        <f t="shared" si="48"/>
        <v>-150.359951</v>
      </c>
      <c r="H708" s="5">
        <f t="shared" si="49"/>
        <v>-2.7313342597638512</v>
      </c>
    </row>
    <row r="709" spans="1:8" x14ac:dyDescent="0.25">
      <c r="A709" t="s">
        <v>711</v>
      </c>
      <c r="B709">
        <v>90441.603369999997</v>
      </c>
      <c r="C709">
        <v>83999.591249999998</v>
      </c>
      <c r="D709">
        <v>2198</v>
      </c>
      <c r="E709" s="5">
        <f t="shared" si="47"/>
        <v>41.147226282984533</v>
      </c>
      <c r="F709" s="5">
        <f t="shared" si="46"/>
        <v>6442.0121199999994</v>
      </c>
      <c r="G709" s="5">
        <f t="shared" si="48"/>
        <v>64.420121199999997</v>
      </c>
      <c r="H709" s="5">
        <f t="shared" si="49"/>
        <v>2.930851737943585</v>
      </c>
    </row>
    <row r="710" spans="1:8" x14ac:dyDescent="0.25">
      <c r="A710" t="s">
        <v>712</v>
      </c>
      <c r="B710">
        <v>117649.0006</v>
      </c>
      <c r="C710">
        <v>121640.3798</v>
      </c>
      <c r="D710">
        <v>3190</v>
      </c>
      <c r="E710" s="5">
        <f t="shared" si="47"/>
        <v>36.880564451410656</v>
      </c>
      <c r="F710" s="5">
        <f t="shared" si="46"/>
        <v>-3991.3791999999958</v>
      </c>
      <c r="G710" s="5">
        <f t="shared" si="48"/>
        <v>-39.913791999999958</v>
      </c>
      <c r="H710" s="5">
        <f t="shared" si="49"/>
        <v>-1.2512160501567384</v>
      </c>
    </row>
    <row r="711" spans="1:8" x14ac:dyDescent="0.25">
      <c r="A711" t="s">
        <v>713</v>
      </c>
      <c r="B711">
        <v>141285.39550000001</v>
      </c>
      <c r="C711">
        <v>145443.0466</v>
      </c>
      <c r="D711">
        <v>3814</v>
      </c>
      <c r="E711" s="5">
        <f t="shared" si="47"/>
        <v>37.043889748295754</v>
      </c>
      <c r="F711" s="5">
        <f t="shared" si="46"/>
        <v>-4157.6510999999882</v>
      </c>
      <c r="G711" s="5">
        <f t="shared" si="48"/>
        <v>-41.576510999999883</v>
      </c>
      <c r="H711" s="5">
        <f t="shared" si="49"/>
        <v>-1.0901025432616644</v>
      </c>
    </row>
    <row r="712" spans="1:8" x14ac:dyDescent="0.25">
      <c r="A712" t="s">
        <v>714</v>
      </c>
      <c r="B712">
        <v>133183.6937</v>
      </c>
      <c r="C712">
        <v>137725.87609999999</v>
      </c>
      <c r="D712">
        <v>3610</v>
      </c>
      <c r="E712" s="5">
        <f t="shared" si="47"/>
        <v>36.892989944598341</v>
      </c>
      <c r="F712" s="5">
        <f t="shared" si="46"/>
        <v>-4542.1823999999906</v>
      </c>
      <c r="G712" s="5">
        <f t="shared" si="48"/>
        <v>-45.421823999999908</v>
      </c>
      <c r="H712" s="5">
        <f t="shared" si="49"/>
        <v>-1.2582222714681415</v>
      </c>
    </row>
    <row r="713" spans="1:8" x14ac:dyDescent="0.25">
      <c r="A713" t="s">
        <v>715</v>
      </c>
      <c r="B713">
        <v>229672.25630000001</v>
      </c>
      <c r="C713">
        <v>237672.01639999999</v>
      </c>
      <c r="D713">
        <v>6227</v>
      </c>
      <c r="E713" s="5">
        <f t="shared" si="47"/>
        <v>36.883291520796533</v>
      </c>
      <c r="F713" s="5">
        <f t="shared" si="46"/>
        <v>-7999.760099999985</v>
      </c>
      <c r="G713" s="5">
        <f t="shared" si="48"/>
        <v>-79.997600999999847</v>
      </c>
      <c r="H713" s="5">
        <f t="shared" si="49"/>
        <v>-1.2846892725228818</v>
      </c>
    </row>
    <row r="714" spans="1:8" x14ac:dyDescent="0.25">
      <c r="A714" t="s">
        <v>716</v>
      </c>
      <c r="B714">
        <v>333488.79790000001</v>
      </c>
      <c r="C714">
        <v>359621.07490000001</v>
      </c>
      <c r="D714">
        <v>9422</v>
      </c>
      <c r="E714" s="5">
        <f t="shared" si="47"/>
        <v>35.394693048185097</v>
      </c>
      <c r="F714" s="5">
        <f t="shared" si="46"/>
        <v>-26132.277000000002</v>
      </c>
      <c r="G714" s="5">
        <f t="shared" si="48"/>
        <v>-261.32276999999999</v>
      </c>
      <c r="H714" s="5">
        <f t="shared" si="49"/>
        <v>-2.7735382084483127</v>
      </c>
    </row>
    <row r="715" spans="1:8" x14ac:dyDescent="0.25">
      <c r="A715" t="s">
        <v>717</v>
      </c>
      <c r="B715">
        <v>185422.88560000001</v>
      </c>
      <c r="C715">
        <v>191390.4013</v>
      </c>
      <c r="D715">
        <v>5014</v>
      </c>
      <c r="E715" s="5">
        <f t="shared" si="47"/>
        <v>36.981030235341045</v>
      </c>
      <c r="F715" s="5">
        <f t="shared" si="46"/>
        <v>-5967.515699999989</v>
      </c>
      <c r="G715" s="5">
        <f t="shared" si="48"/>
        <v>-59.675156999999892</v>
      </c>
      <c r="H715" s="5">
        <f t="shared" si="49"/>
        <v>-1.1901706621459891</v>
      </c>
    </row>
    <row r="716" spans="1:8" x14ac:dyDescent="0.25">
      <c r="A716" t="s">
        <v>718</v>
      </c>
      <c r="B716">
        <v>173833.13320000001</v>
      </c>
      <c r="C716">
        <v>179871.0533</v>
      </c>
      <c r="D716">
        <v>4715</v>
      </c>
      <c r="E716" s="5">
        <f t="shared" si="47"/>
        <v>36.868108844114531</v>
      </c>
      <c r="F716" s="5">
        <f t="shared" si="46"/>
        <v>-6037.9200999999885</v>
      </c>
      <c r="G716" s="5">
        <f t="shared" si="48"/>
        <v>-60.379200999999881</v>
      </c>
      <c r="H716" s="5">
        <f t="shared" si="49"/>
        <v>-1.2805769034994674</v>
      </c>
    </row>
    <row r="717" spans="1:8" x14ac:dyDescent="0.25">
      <c r="A717" t="s">
        <v>719</v>
      </c>
      <c r="B717">
        <v>220271.72140000001</v>
      </c>
      <c r="C717">
        <v>237123.34330000001</v>
      </c>
      <c r="D717">
        <v>6212</v>
      </c>
      <c r="E717" s="5">
        <f t="shared" si="47"/>
        <v>35.459066548615581</v>
      </c>
      <c r="F717" s="5">
        <f t="shared" si="46"/>
        <v>-16851.621899999998</v>
      </c>
      <c r="G717" s="5">
        <f t="shared" si="48"/>
        <v>-168.51621899999998</v>
      </c>
      <c r="H717" s="5">
        <f t="shared" si="49"/>
        <v>-2.7127530424983899</v>
      </c>
    </row>
    <row r="718" spans="1:8" x14ac:dyDescent="0.25">
      <c r="A718" t="s">
        <v>720</v>
      </c>
      <c r="B718">
        <v>234468.07120000001</v>
      </c>
      <c r="C718">
        <v>251493.90890000001</v>
      </c>
      <c r="D718">
        <v>6585</v>
      </c>
      <c r="E718" s="5">
        <f t="shared" si="47"/>
        <v>35.606388944570995</v>
      </c>
      <c r="F718" s="5">
        <f t="shared" si="46"/>
        <v>-17025.837700000004</v>
      </c>
      <c r="G718" s="5">
        <f t="shared" si="48"/>
        <v>-170.25837700000002</v>
      </c>
      <c r="H718" s="5">
        <f t="shared" si="49"/>
        <v>-2.5855486256643894</v>
      </c>
    </row>
    <row r="719" spans="1:8" x14ac:dyDescent="0.25">
      <c r="A719" t="s">
        <v>721</v>
      </c>
      <c r="B719">
        <v>213778.13810000001</v>
      </c>
      <c r="C719">
        <v>230994.35519999999</v>
      </c>
      <c r="D719">
        <v>6051</v>
      </c>
      <c r="E719" s="5">
        <f t="shared" si="47"/>
        <v>35.329389869443069</v>
      </c>
      <c r="F719" s="5">
        <f t="shared" si="46"/>
        <v>-17216.21709999998</v>
      </c>
      <c r="G719" s="5">
        <f t="shared" si="48"/>
        <v>-172.1621709999998</v>
      </c>
      <c r="H719" s="5">
        <f t="shared" si="49"/>
        <v>-2.8451854404230672</v>
      </c>
    </row>
    <row r="720" spans="1:8" x14ac:dyDescent="0.25">
      <c r="A720" t="s">
        <v>722</v>
      </c>
      <c r="B720">
        <v>273563.0148</v>
      </c>
      <c r="C720">
        <v>295854.55229999998</v>
      </c>
      <c r="D720">
        <v>7750</v>
      </c>
      <c r="E720" s="5">
        <f t="shared" si="47"/>
        <v>35.298453522580644</v>
      </c>
      <c r="F720" s="5">
        <f t="shared" si="46"/>
        <v>-22291.537499999977</v>
      </c>
      <c r="G720" s="5">
        <f t="shared" si="48"/>
        <v>-222.91537499999976</v>
      </c>
      <c r="H720" s="5">
        <f t="shared" si="49"/>
        <v>-2.8763274193548356</v>
      </c>
    </row>
    <row r="721" spans="1:8" x14ac:dyDescent="0.25">
      <c r="A721" t="s">
        <v>723</v>
      </c>
      <c r="B721">
        <v>337506.78840000002</v>
      </c>
      <c r="C721">
        <v>362223.16090000002</v>
      </c>
      <c r="D721">
        <v>9490</v>
      </c>
      <c r="E721" s="5">
        <f t="shared" si="47"/>
        <v>35.564466638566913</v>
      </c>
      <c r="F721" s="5">
        <f t="shared" si="46"/>
        <v>-24716.372499999998</v>
      </c>
      <c r="G721" s="5">
        <f t="shared" si="48"/>
        <v>-247.16372499999997</v>
      </c>
      <c r="H721" s="5">
        <f t="shared" si="49"/>
        <v>-2.6044649631190726</v>
      </c>
    </row>
    <row r="722" spans="1:8" x14ac:dyDescent="0.25">
      <c r="A722" t="s">
        <v>724</v>
      </c>
      <c r="B722">
        <v>155312.78390000001</v>
      </c>
      <c r="C722">
        <v>167421.9737</v>
      </c>
      <c r="D722">
        <v>4382</v>
      </c>
      <c r="E722" s="5">
        <f t="shared" si="47"/>
        <v>35.443355522592427</v>
      </c>
      <c r="F722" s="5">
        <f t="shared" si="46"/>
        <v>-12109.189799999993</v>
      </c>
      <c r="G722" s="5">
        <f t="shared" si="48"/>
        <v>-121.09189799999993</v>
      </c>
      <c r="H722" s="5">
        <f t="shared" si="49"/>
        <v>-2.763393382017342</v>
      </c>
    </row>
    <row r="723" spans="1:8" x14ac:dyDescent="0.25">
      <c r="A723" t="s">
        <v>725</v>
      </c>
      <c r="B723">
        <v>289243.38309999998</v>
      </c>
      <c r="C723">
        <v>312784.9743</v>
      </c>
      <c r="D723">
        <v>8196</v>
      </c>
      <c r="E723" s="5">
        <f t="shared" si="47"/>
        <v>35.290798328452901</v>
      </c>
      <c r="F723" s="5">
        <f t="shared" si="46"/>
        <v>-23541.591200000024</v>
      </c>
      <c r="G723" s="5">
        <f t="shared" si="48"/>
        <v>-235.41591200000025</v>
      </c>
      <c r="H723" s="5">
        <f t="shared" si="49"/>
        <v>-2.8723268911664257</v>
      </c>
    </row>
    <row r="724" spans="1:8" x14ac:dyDescent="0.25">
      <c r="A724" t="s">
        <v>726</v>
      </c>
      <c r="B724">
        <v>313125.33250000002</v>
      </c>
      <c r="C724">
        <v>338299.61780000001</v>
      </c>
      <c r="D724">
        <v>8863</v>
      </c>
      <c r="E724" s="5">
        <f t="shared" si="47"/>
        <v>35.329497066456057</v>
      </c>
      <c r="F724" s="5">
        <f t="shared" si="46"/>
        <v>-25174.285299999989</v>
      </c>
      <c r="G724" s="5">
        <f t="shared" si="48"/>
        <v>-251.74285299999988</v>
      </c>
      <c r="H724" s="5">
        <f t="shared" si="49"/>
        <v>-2.8403797021324597</v>
      </c>
    </row>
    <row r="725" spans="1:8" x14ac:dyDescent="0.25">
      <c r="A725" t="s">
        <v>727</v>
      </c>
      <c r="B725">
        <v>268330.39270000003</v>
      </c>
      <c r="C725">
        <v>249584.21520000001</v>
      </c>
      <c r="D725">
        <v>6534</v>
      </c>
      <c r="E725" s="5">
        <f t="shared" si="47"/>
        <v>41.06678798591981</v>
      </c>
      <c r="F725" s="5">
        <f t="shared" si="46"/>
        <v>18746.17750000002</v>
      </c>
      <c r="G725" s="5">
        <f t="shared" si="48"/>
        <v>187.46177500000019</v>
      </c>
      <c r="H725" s="5">
        <f t="shared" si="49"/>
        <v>2.8690201254974013</v>
      </c>
    </row>
    <row r="726" spans="1:8" x14ac:dyDescent="0.25">
      <c r="A726" t="s">
        <v>728</v>
      </c>
      <c r="B726">
        <v>392228.13799999998</v>
      </c>
      <c r="C726">
        <v>364396.19420000003</v>
      </c>
      <c r="D726">
        <v>9540</v>
      </c>
      <c r="E726" s="5">
        <f t="shared" si="47"/>
        <v>41.114060587002093</v>
      </c>
      <c r="F726" s="5">
        <f t="shared" si="46"/>
        <v>27831.94379999995</v>
      </c>
      <c r="G726" s="5">
        <f t="shared" si="48"/>
        <v>278.31943799999948</v>
      </c>
      <c r="H726" s="5">
        <f t="shared" si="49"/>
        <v>2.9173945283018816</v>
      </c>
    </row>
    <row r="727" spans="1:8" x14ac:dyDescent="0.25">
      <c r="A727" t="s">
        <v>729</v>
      </c>
      <c r="B727">
        <v>133728.98370000001</v>
      </c>
      <c r="C727">
        <v>124363.5573</v>
      </c>
      <c r="D727">
        <v>3256</v>
      </c>
      <c r="E727" s="5">
        <f t="shared" si="47"/>
        <v>41.071555190417691</v>
      </c>
      <c r="F727" s="5">
        <f t="shared" si="46"/>
        <v>9365.4264000000112</v>
      </c>
      <c r="G727" s="5">
        <f t="shared" si="48"/>
        <v>93.654264000000111</v>
      </c>
      <c r="H727" s="5">
        <f t="shared" si="49"/>
        <v>2.8763594594594628</v>
      </c>
    </row>
    <row r="728" spans="1:8" x14ac:dyDescent="0.25">
      <c r="A728" t="s">
        <v>730</v>
      </c>
      <c r="B728">
        <v>82778.444050000006</v>
      </c>
      <c r="C728">
        <v>76876.492700000003</v>
      </c>
      <c r="D728">
        <v>2013</v>
      </c>
      <c r="E728" s="5">
        <f t="shared" si="47"/>
        <v>41.121929483358173</v>
      </c>
      <c r="F728" s="5">
        <f t="shared" si="46"/>
        <v>5901.951350000003</v>
      </c>
      <c r="G728" s="5">
        <f t="shared" si="48"/>
        <v>59.019513500000031</v>
      </c>
      <c r="H728" s="5">
        <f t="shared" si="49"/>
        <v>2.9319182066567326</v>
      </c>
    </row>
    <row r="729" spans="1:8" x14ac:dyDescent="0.25">
      <c r="A729" t="s">
        <v>731</v>
      </c>
      <c r="B729">
        <v>69522.836970000004</v>
      </c>
      <c r="C729">
        <v>64616.076650000003</v>
      </c>
      <c r="D729">
        <v>1692</v>
      </c>
      <c r="E729" s="5">
        <f t="shared" si="47"/>
        <v>41.089147145390072</v>
      </c>
      <c r="F729" s="5">
        <f t="shared" si="46"/>
        <v>4906.7603200000012</v>
      </c>
      <c r="G729" s="5">
        <f t="shared" si="48"/>
        <v>49.067603200000015</v>
      </c>
      <c r="H729" s="5">
        <f t="shared" si="49"/>
        <v>2.8999765484633575</v>
      </c>
    </row>
    <row r="730" spans="1:8" x14ac:dyDescent="0.25">
      <c r="A730" t="s">
        <v>732</v>
      </c>
      <c r="B730">
        <v>133021.27280000001</v>
      </c>
      <c r="C730">
        <v>123500.78780000001</v>
      </c>
      <c r="D730">
        <v>3234</v>
      </c>
      <c r="E730" s="5">
        <f t="shared" si="47"/>
        <v>41.132118985776131</v>
      </c>
      <c r="F730" s="5">
        <f t="shared" ref="F730:F746" si="50" xml:space="preserve"> B730-C730</f>
        <v>9520.4850000000006</v>
      </c>
      <c r="G730" s="5">
        <f t="shared" si="48"/>
        <v>95.204850000000008</v>
      </c>
      <c r="H730" s="5">
        <f t="shared" si="49"/>
        <v>2.9438729128014844</v>
      </c>
    </row>
    <row r="731" spans="1:8" x14ac:dyDescent="0.25">
      <c r="A731" t="s">
        <v>733</v>
      </c>
      <c r="B731">
        <v>161267.52059999999</v>
      </c>
      <c r="C731">
        <v>175378.1459</v>
      </c>
      <c r="D731">
        <v>4592</v>
      </c>
      <c r="E731" s="5">
        <f t="shared" si="47"/>
        <v>35.119233580139372</v>
      </c>
      <c r="F731" s="5">
        <f t="shared" si="50"/>
        <v>-14110.625300000014</v>
      </c>
      <c r="G731" s="5">
        <f t="shared" si="48"/>
        <v>-141.10625300000015</v>
      </c>
      <c r="H731" s="5">
        <f t="shared" si="49"/>
        <v>-3.0728713632404214</v>
      </c>
    </row>
    <row r="732" spans="1:8" x14ac:dyDescent="0.25">
      <c r="A732" t="s">
        <v>734</v>
      </c>
      <c r="B732">
        <v>208583.21799999999</v>
      </c>
      <c r="C732">
        <v>227060.26269999999</v>
      </c>
      <c r="D732">
        <v>5945</v>
      </c>
      <c r="E732" s="5">
        <f t="shared" si="47"/>
        <v>35.085486627418</v>
      </c>
      <c r="F732" s="5">
        <f t="shared" si="50"/>
        <v>-18477.044699999999</v>
      </c>
      <c r="G732" s="5">
        <f t="shared" si="48"/>
        <v>-184.77044699999999</v>
      </c>
      <c r="H732" s="5">
        <f t="shared" si="49"/>
        <v>-3.1079974264087467</v>
      </c>
    </row>
    <row r="733" spans="1:8" x14ac:dyDescent="0.25">
      <c r="A733" t="s">
        <v>735</v>
      </c>
      <c r="B733">
        <v>325457.52500000002</v>
      </c>
      <c r="C733">
        <v>353929.73839999997</v>
      </c>
      <c r="D733">
        <v>9266</v>
      </c>
      <c r="E733" s="5">
        <f t="shared" si="47"/>
        <v>35.123842542628971</v>
      </c>
      <c r="F733" s="5">
        <f t="shared" si="50"/>
        <v>-28472.21339999995</v>
      </c>
      <c r="G733" s="5">
        <f t="shared" si="48"/>
        <v>-284.72213399999947</v>
      </c>
      <c r="H733" s="5">
        <f t="shared" si="49"/>
        <v>-3.0727620764083694</v>
      </c>
    </row>
    <row r="734" spans="1:8" x14ac:dyDescent="0.25">
      <c r="A734" t="s">
        <v>736</v>
      </c>
      <c r="B734">
        <v>111650.2398</v>
      </c>
      <c r="C734">
        <v>121448.2838</v>
      </c>
      <c r="D734">
        <v>3179</v>
      </c>
      <c r="E734" s="5">
        <f t="shared" si="47"/>
        <v>35.121182698961938</v>
      </c>
      <c r="F734" s="5">
        <f t="shared" si="50"/>
        <v>-9798.044000000009</v>
      </c>
      <c r="G734" s="5">
        <f t="shared" si="48"/>
        <v>-97.980440000000087</v>
      </c>
      <c r="H734" s="5">
        <f t="shared" si="49"/>
        <v>-3.0821151305441989</v>
      </c>
    </row>
    <row r="735" spans="1:8" x14ac:dyDescent="0.25">
      <c r="A735" t="s">
        <v>737</v>
      </c>
      <c r="B735">
        <v>262421.2819</v>
      </c>
      <c r="C735">
        <v>285675.84570000001</v>
      </c>
      <c r="D735">
        <v>7479</v>
      </c>
      <c r="E735" s="5">
        <f t="shared" si="47"/>
        <v>35.087749953202298</v>
      </c>
      <c r="F735" s="5">
        <f t="shared" si="50"/>
        <v>-23254.563800000004</v>
      </c>
      <c r="G735" s="5">
        <f t="shared" si="48"/>
        <v>-232.54563800000003</v>
      </c>
      <c r="H735" s="5">
        <f t="shared" si="49"/>
        <v>-3.1093145875117001</v>
      </c>
    </row>
    <row r="736" spans="1:8" x14ac:dyDescent="0.25">
      <c r="A736" t="s">
        <v>738</v>
      </c>
      <c r="B736">
        <v>164527.53890000001</v>
      </c>
      <c r="C736">
        <v>179308.94949999999</v>
      </c>
      <c r="D736">
        <v>4694</v>
      </c>
      <c r="E736" s="5">
        <f t="shared" si="47"/>
        <v>35.050604793353223</v>
      </c>
      <c r="F736" s="5">
        <f t="shared" si="50"/>
        <v>-14781.410599999974</v>
      </c>
      <c r="G736" s="5">
        <f t="shared" si="48"/>
        <v>-147.81410599999973</v>
      </c>
      <c r="H736" s="5">
        <f t="shared" si="49"/>
        <v>-3.1490009799744301</v>
      </c>
    </row>
    <row r="737" spans="1:8" x14ac:dyDescent="0.25">
      <c r="A737" t="s">
        <v>739</v>
      </c>
      <c r="B737">
        <v>274990.14649999997</v>
      </c>
      <c r="C737">
        <v>299576.2414</v>
      </c>
      <c r="D737">
        <v>7843</v>
      </c>
      <c r="E737" s="5">
        <f t="shared" si="47"/>
        <v>35.061857261252065</v>
      </c>
      <c r="F737" s="5">
        <f t="shared" si="50"/>
        <v>-24586.094900000026</v>
      </c>
      <c r="G737" s="5">
        <f t="shared" si="48"/>
        <v>-245.86094900000026</v>
      </c>
      <c r="H737" s="5">
        <f t="shared" si="49"/>
        <v>-3.1347819584342758</v>
      </c>
    </row>
    <row r="738" spans="1:8" x14ac:dyDescent="0.25">
      <c r="A738" t="s">
        <v>740</v>
      </c>
      <c r="B738">
        <v>215737.84280000001</v>
      </c>
      <c r="C738">
        <v>234642.0857</v>
      </c>
      <c r="D738">
        <v>6150</v>
      </c>
      <c r="E738" s="5">
        <f t="shared" si="47"/>
        <v>35.079324032520326</v>
      </c>
      <c r="F738" s="5">
        <f t="shared" si="50"/>
        <v>-18904.242899999983</v>
      </c>
      <c r="G738" s="5">
        <f t="shared" si="48"/>
        <v>-189.04242899999983</v>
      </c>
      <c r="H738" s="5">
        <f t="shared" si="49"/>
        <v>-3.0738606341463388</v>
      </c>
    </row>
    <row r="739" spans="1:8" x14ac:dyDescent="0.25">
      <c r="A739" t="s">
        <v>741</v>
      </c>
      <c r="B739">
        <v>98646.982699999993</v>
      </c>
      <c r="C739">
        <v>91610.559999999998</v>
      </c>
      <c r="D739">
        <v>2401</v>
      </c>
      <c r="E739" s="5">
        <f t="shared" si="47"/>
        <v>41.085790379008742</v>
      </c>
      <c r="F739" s="5">
        <f t="shared" si="50"/>
        <v>7036.4226999999955</v>
      </c>
      <c r="G739" s="5">
        <f t="shared" si="48"/>
        <v>70.364226999999957</v>
      </c>
      <c r="H739" s="5">
        <f t="shared" si="49"/>
        <v>2.9306216992919598</v>
      </c>
    </row>
    <row r="740" spans="1:8" x14ac:dyDescent="0.25">
      <c r="A740" t="s">
        <v>742</v>
      </c>
      <c r="B740">
        <v>74401.215289999993</v>
      </c>
      <c r="C740">
        <v>68988.861260000005</v>
      </c>
      <c r="D740">
        <v>1808</v>
      </c>
      <c r="E740" s="5">
        <f t="shared" si="47"/>
        <v>41.151114651548667</v>
      </c>
      <c r="F740" s="5">
        <f t="shared" si="50"/>
        <v>5412.3540299999877</v>
      </c>
      <c r="G740" s="5">
        <f t="shared" si="48"/>
        <v>54.123540299999874</v>
      </c>
      <c r="H740" s="5">
        <f t="shared" si="49"/>
        <v>2.9935586449114977</v>
      </c>
    </row>
    <row r="741" spans="1:8" x14ac:dyDescent="0.25">
      <c r="A741" t="s">
        <v>743</v>
      </c>
      <c r="B741">
        <v>106592.34299999999</v>
      </c>
      <c r="C741">
        <v>99021.682920000007</v>
      </c>
      <c r="D741">
        <v>2594</v>
      </c>
      <c r="E741" s="5">
        <f t="shared" si="47"/>
        <v>41.091882420971473</v>
      </c>
      <c r="F741" s="5">
        <f t="shared" si="50"/>
        <v>7570.6600799999869</v>
      </c>
      <c r="G741" s="5">
        <f t="shared" si="48"/>
        <v>75.706600799999876</v>
      </c>
      <c r="H741" s="5">
        <f t="shared" si="49"/>
        <v>2.9185274016962168</v>
      </c>
    </row>
    <row r="742" spans="1:8" x14ac:dyDescent="0.25">
      <c r="A742" t="s">
        <v>744</v>
      </c>
      <c r="B742">
        <v>134629.65820000001</v>
      </c>
      <c r="C742">
        <v>124963.46550000001</v>
      </c>
      <c r="D742">
        <v>3274</v>
      </c>
      <c r="E742" s="5">
        <f t="shared" si="47"/>
        <v>41.120848564447158</v>
      </c>
      <c r="F742" s="5">
        <f t="shared" si="50"/>
        <v>9666.1926999999996</v>
      </c>
      <c r="G742" s="5">
        <f t="shared" si="48"/>
        <v>96.661926999999991</v>
      </c>
      <c r="H742" s="5">
        <f t="shared" si="49"/>
        <v>2.9524107208307879</v>
      </c>
    </row>
    <row r="743" spans="1:8" x14ac:dyDescent="0.25">
      <c r="A743" t="s">
        <v>745</v>
      </c>
      <c r="B743">
        <v>90773.653059999997</v>
      </c>
      <c r="C743">
        <v>84299.288239999994</v>
      </c>
      <c r="D743">
        <v>2207</v>
      </c>
      <c r="E743" s="5">
        <f t="shared" si="47"/>
        <v>41.129883579519706</v>
      </c>
      <c r="F743" s="5">
        <f t="shared" si="50"/>
        <v>6474.3648200000025</v>
      </c>
      <c r="G743" s="5">
        <f t="shared" si="48"/>
        <v>64.743648200000024</v>
      </c>
      <c r="H743" s="5">
        <f t="shared" si="49"/>
        <v>2.9335590484821035</v>
      </c>
    </row>
    <row r="744" spans="1:8" x14ac:dyDescent="0.25">
      <c r="A744" t="s">
        <v>746</v>
      </c>
      <c r="B744">
        <v>121373.06819999999</v>
      </c>
      <c r="C744">
        <v>112550.4323</v>
      </c>
      <c r="D744">
        <v>2949</v>
      </c>
      <c r="E744" s="5">
        <f t="shared" si="47"/>
        <v>41.157364598168868</v>
      </c>
      <c r="F744" s="5">
        <f t="shared" si="50"/>
        <v>8822.6358999999939</v>
      </c>
      <c r="G744" s="5">
        <f t="shared" si="48"/>
        <v>88.226358999999945</v>
      </c>
      <c r="H744" s="5">
        <f t="shared" si="49"/>
        <v>2.9917381824347213</v>
      </c>
    </row>
    <row r="745" spans="1:8" x14ac:dyDescent="0.25">
      <c r="A745" t="s">
        <v>747</v>
      </c>
      <c r="B745">
        <v>99445.557100000005</v>
      </c>
      <c r="C745">
        <v>92226.518100000001</v>
      </c>
      <c r="D745">
        <v>2417</v>
      </c>
      <c r="E745" s="5">
        <f t="shared" si="47"/>
        <v>41.144210633016137</v>
      </c>
      <c r="F745" s="5">
        <f t="shared" si="50"/>
        <v>7219.0390000000043</v>
      </c>
      <c r="G745" s="5">
        <f t="shared" si="48"/>
        <v>72.190390000000036</v>
      </c>
      <c r="H745" s="5">
        <f t="shared" si="49"/>
        <v>2.9867765825403412</v>
      </c>
    </row>
    <row r="746" spans="1:8" x14ac:dyDescent="0.25">
      <c r="A746" t="s">
        <v>748</v>
      </c>
      <c r="B746">
        <v>67587.546929999997</v>
      </c>
      <c r="C746">
        <v>62760.356829999997</v>
      </c>
      <c r="D746">
        <v>1644</v>
      </c>
      <c r="E746" s="5">
        <f t="shared" si="47"/>
        <v>41.111646551094886</v>
      </c>
      <c r="F746" s="5">
        <f t="shared" si="50"/>
        <v>4827.1900999999998</v>
      </c>
      <c r="G746" s="5">
        <f t="shared" si="48"/>
        <v>48.271901</v>
      </c>
      <c r="H746" s="5">
        <f t="shared" si="49"/>
        <v>2.9362470194647199</v>
      </c>
    </row>
    <row r="747" spans="1:8" x14ac:dyDescent="0.25">
      <c r="A747" t="s">
        <v>749</v>
      </c>
      <c r="B747">
        <v>61685.935239999999</v>
      </c>
      <c r="C747">
        <v>57191.439319999998</v>
      </c>
      <c r="D747">
        <v>1499</v>
      </c>
      <c r="E747" s="5">
        <f t="shared" si="47"/>
        <v>41.151391087391595</v>
      </c>
      <c r="F747" s="5">
        <f xml:space="preserve"> B747-C747</f>
        <v>4494.4959200000012</v>
      </c>
      <c r="G747" s="5">
        <f t="shared" si="48"/>
        <v>44.944959200000014</v>
      </c>
      <c r="H747" s="5">
        <f t="shared" si="49"/>
        <v>2.9983294996664451</v>
      </c>
    </row>
    <row r="748" spans="1:8" x14ac:dyDescent="0.25">
      <c r="A748" t="s">
        <v>750</v>
      </c>
      <c r="B748">
        <v>150006.92980000001</v>
      </c>
      <c r="C748">
        <v>139244.8958</v>
      </c>
      <c r="D748">
        <v>3648</v>
      </c>
      <c r="E748" s="5">
        <f t="shared" si="47"/>
        <v>41.120320668859655</v>
      </c>
      <c r="F748" s="5">
        <f t="shared" ref="F748:F752" si="51" xml:space="preserve"> B748-C748</f>
        <v>10762.034000000014</v>
      </c>
      <c r="G748" s="5">
        <f t="shared" si="48"/>
        <v>107.62034000000014</v>
      </c>
      <c r="H748" s="5">
        <f t="shared" si="49"/>
        <v>2.9501189692982495</v>
      </c>
    </row>
    <row r="749" spans="1:8" x14ac:dyDescent="0.25">
      <c r="A749" t="s">
        <v>751</v>
      </c>
      <c r="B749">
        <v>191287.3535</v>
      </c>
      <c r="C749">
        <v>177577.28719999999</v>
      </c>
      <c r="D749">
        <v>4652</v>
      </c>
      <c r="E749" s="5">
        <f t="shared" si="47"/>
        <v>41.119379514187443</v>
      </c>
      <c r="F749" s="5">
        <f t="shared" si="51"/>
        <v>13710.066300000006</v>
      </c>
      <c r="G749" s="5">
        <f t="shared" si="48"/>
        <v>137.10066300000005</v>
      </c>
      <c r="H749" s="5">
        <f t="shared" si="49"/>
        <v>2.9471337704213254</v>
      </c>
    </row>
    <row r="750" spans="1:8" x14ac:dyDescent="0.25">
      <c r="A750" t="s">
        <v>752</v>
      </c>
      <c r="B750">
        <v>92595.46084</v>
      </c>
      <c r="C750">
        <v>86018.189610000001</v>
      </c>
      <c r="D750">
        <v>2252</v>
      </c>
      <c r="E750" s="5">
        <f t="shared" si="47"/>
        <v>41.116989715808174</v>
      </c>
      <c r="F750" s="5">
        <f t="shared" si="51"/>
        <v>6577.2712299999985</v>
      </c>
      <c r="G750" s="5">
        <f t="shared" si="48"/>
        <v>65.772712299999981</v>
      </c>
      <c r="H750" s="5">
        <f t="shared" si="49"/>
        <v>2.9206355373001771</v>
      </c>
    </row>
    <row r="751" spans="1:8" x14ac:dyDescent="0.25">
      <c r="A751" t="s">
        <v>753</v>
      </c>
      <c r="B751">
        <v>96947.05429</v>
      </c>
      <c r="C751">
        <v>89961.359500000006</v>
      </c>
      <c r="D751">
        <v>2357</v>
      </c>
      <c r="E751" s="5">
        <f t="shared" si="47"/>
        <v>41.131546156130675</v>
      </c>
      <c r="F751" s="5">
        <f t="shared" si="51"/>
        <v>6985.6947899999941</v>
      </c>
      <c r="G751" s="5">
        <f t="shared" si="48"/>
        <v>69.856947899999938</v>
      </c>
      <c r="H751" s="5">
        <f t="shared" si="49"/>
        <v>2.963807717437418</v>
      </c>
    </row>
    <row r="752" spans="1:8" x14ac:dyDescent="0.25">
      <c r="A752" t="s">
        <v>754</v>
      </c>
      <c r="B752">
        <v>70512.894499999995</v>
      </c>
      <c r="C752">
        <v>65453.276389999999</v>
      </c>
      <c r="D752">
        <v>1715</v>
      </c>
      <c r="E752" s="5">
        <f t="shared" si="47"/>
        <v>41.115390379008744</v>
      </c>
      <c r="F752" s="5">
        <f t="shared" si="51"/>
        <v>5059.6181099999958</v>
      </c>
      <c r="G752" s="5">
        <f t="shared" si="48"/>
        <v>50.59618109999996</v>
      </c>
      <c r="H752" s="5">
        <f t="shared" si="49"/>
        <v>2.9502146413994144</v>
      </c>
    </row>
    <row r="753" spans="1:8" x14ac:dyDescent="0.25">
      <c r="A753" t="s">
        <v>755</v>
      </c>
      <c r="B753">
        <v>159590.4901</v>
      </c>
      <c r="C753">
        <v>182351.13879999999</v>
      </c>
      <c r="D753">
        <v>4776</v>
      </c>
      <c r="E753" s="5">
        <f t="shared" si="47"/>
        <v>33.415094242043551</v>
      </c>
      <c r="F753" s="5">
        <f xml:space="preserve"> B753-C753</f>
        <v>-22760.648699999991</v>
      </c>
      <c r="G753" s="5">
        <f t="shared" si="48"/>
        <v>-227.6064869999999</v>
      </c>
      <c r="H753" s="5">
        <f t="shared" si="49"/>
        <v>-4.7656299623115554</v>
      </c>
    </row>
    <row r="754" spans="1:8" x14ac:dyDescent="0.25">
      <c r="A754" t="s">
        <v>756</v>
      </c>
      <c r="B754">
        <v>67046.273419999998</v>
      </c>
      <c r="C754">
        <v>61894.262560000003</v>
      </c>
      <c r="D754">
        <v>1628</v>
      </c>
      <c r="E754" s="5">
        <f t="shared" si="47"/>
        <v>41.18321463144963</v>
      </c>
      <c r="F754" s="5">
        <f t="shared" ref="F754:F817" si="52" xml:space="preserve"> B754-C754</f>
        <v>5152.0108599999949</v>
      </c>
      <c r="G754" s="5">
        <f t="shared" si="48"/>
        <v>51.520108599999951</v>
      </c>
      <c r="H754" s="5">
        <f t="shared" si="49"/>
        <v>3.1646258353808321</v>
      </c>
    </row>
    <row r="755" spans="1:8" x14ac:dyDescent="0.25">
      <c r="A755" t="s">
        <v>757</v>
      </c>
      <c r="B755">
        <v>266949.23879999999</v>
      </c>
      <c r="C755">
        <v>294322.92719999998</v>
      </c>
      <c r="D755">
        <v>7806</v>
      </c>
      <c r="E755" s="5">
        <f t="shared" si="47"/>
        <v>34.197955265180632</v>
      </c>
      <c r="F755" s="5">
        <f t="shared" si="52"/>
        <v>-27373.688399999985</v>
      </c>
      <c r="G755" s="5">
        <f t="shared" si="48"/>
        <v>-273.73688399999986</v>
      </c>
      <c r="H755" s="5">
        <f t="shared" si="49"/>
        <v>-3.5067497309761704</v>
      </c>
    </row>
    <row r="756" spans="1:8" x14ac:dyDescent="0.25">
      <c r="A756" t="s">
        <v>758</v>
      </c>
      <c r="B756">
        <v>315272.22480000003</v>
      </c>
      <c r="C756">
        <v>346093.06699999998</v>
      </c>
      <c r="D756">
        <v>9210</v>
      </c>
      <c r="E756" s="5">
        <f t="shared" si="47"/>
        <v>34.231511921824108</v>
      </c>
      <c r="F756" s="5">
        <f t="shared" si="52"/>
        <v>-30820.842199999955</v>
      </c>
      <c r="G756" s="5">
        <f t="shared" si="48"/>
        <v>-308.20842199999953</v>
      </c>
      <c r="H756" s="5">
        <f t="shared" si="49"/>
        <v>-3.3464540933767597</v>
      </c>
    </row>
    <row r="757" spans="1:8" x14ac:dyDescent="0.25">
      <c r="A757" t="s">
        <v>759</v>
      </c>
      <c r="B757">
        <v>149138.9215</v>
      </c>
      <c r="C757">
        <v>163505.71299999999</v>
      </c>
      <c r="D757">
        <v>4351</v>
      </c>
      <c r="E757" s="5">
        <f t="shared" si="47"/>
        <v>34.276929786256034</v>
      </c>
      <c r="F757" s="5">
        <f t="shared" si="52"/>
        <v>-14366.791499999992</v>
      </c>
      <c r="G757" s="5">
        <f t="shared" si="48"/>
        <v>-143.66791499999991</v>
      </c>
      <c r="H757" s="5">
        <f t="shared" si="49"/>
        <v>-3.3019516203171668</v>
      </c>
    </row>
    <row r="758" spans="1:8" x14ac:dyDescent="0.25">
      <c r="A758" t="s">
        <v>760</v>
      </c>
      <c r="B758">
        <v>215171.03820000001</v>
      </c>
      <c r="C758">
        <v>234621.59890000001</v>
      </c>
      <c r="D758">
        <v>6278</v>
      </c>
      <c r="E758" s="5">
        <f t="shared" si="47"/>
        <v>34.273819401083152</v>
      </c>
      <c r="F758" s="5">
        <f t="shared" si="52"/>
        <v>-19450.560700000002</v>
      </c>
      <c r="G758" s="5">
        <f t="shared" si="48"/>
        <v>-194.50560700000003</v>
      </c>
      <c r="H758" s="5">
        <f t="shared" si="49"/>
        <v>-3.0982097323988533</v>
      </c>
    </row>
    <row r="759" spans="1:8" x14ac:dyDescent="0.25">
      <c r="A759" t="s">
        <v>761</v>
      </c>
      <c r="B759">
        <v>205197.89840000001</v>
      </c>
      <c r="C759">
        <v>221931.58009999999</v>
      </c>
      <c r="D759">
        <v>5992</v>
      </c>
      <c r="E759" s="5">
        <f t="shared" si="47"/>
        <v>34.245310146862487</v>
      </c>
      <c r="F759" s="5">
        <f t="shared" si="52"/>
        <v>-16733.681699999986</v>
      </c>
      <c r="G759" s="5">
        <f t="shared" si="48"/>
        <v>-167.33681699999985</v>
      </c>
      <c r="H759" s="5">
        <f t="shared" si="49"/>
        <v>-2.7926705106809058</v>
      </c>
    </row>
    <row r="760" spans="1:8" x14ac:dyDescent="0.25">
      <c r="A760" t="s">
        <v>762</v>
      </c>
      <c r="B760">
        <v>214452.24840000001</v>
      </c>
      <c r="C760">
        <v>231730.23269999999</v>
      </c>
      <c r="D760">
        <v>6265</v>
      </c>
      <c r="E760" s="5">
        <f t="shared" si="47"/>
        <v>34.230207246608146</v>
      </c>
      <c r="F760" s="5">
        <f t="shared" si="52"/>
        <v>-17277.984299999982</v>
      </c>
      <c r="G760" s="5">
        <f t="shared" si="48"/>
        <v>-172.77984299999983</v>
      </c>
      <c r="H760" s="5">
        <f t="shared" si="49"/>
        <v>-2.7578586272944903</v>
      </c>
    </row>
    <row r="761" spans="1:8" x14ac:dyDescent="0.25">
      <c r="A761" t="s">
        <v>763</v>
      </c>
      <c r="B761">
        <v>195767.9736</v>
      </c>
      <c r="C761">
        <v>210639.84820000001</v>
      </c>
      <c r="D761">
        <v>5723</v>
      </c>
      <c r="E761" s="5">
        <f t="shared" si="47"/>
        <v>34.207229355233267</v>
      </c>
      <c r="F761" s="5">
        <f t="shared" si="52"/>
        <v>-14871.87460000001</v>
      </c>
      <c r="G761" s="5">
        <f t="shared" si="48"/>
        <v>-148.7187460000001</v>
      </c>
      <c r="H761" s="5">
        <f t="shared" si="49"/>
        <v>-2.5986151668705242</v>
      </c>
    </row>
    <row r="762" spans="1:8" x14ac:dyDescent="0.25">
      <c r="A762" t="s">
        <v>764</v>
      </c>
      <c r="B762">
        <v>397984.32929999998</v>
      </c>
      <c r="C762">
        <v>437198.92959999997</v>
      </c>
      <c r="D762">
        <v>11900</v>
      </c>
      <c r="E762" s="5">
        <f t="shared" si="47"/>
        <v>33.444061285714284</v>
      </c>
      <c r="F762" s="5">
        <f t="shared" si="52"/>
        <v>-39214.600299999991</v>
      </c>
      <c r="G762" s="5">
        <f t="shared" si="48"/>
        <v>-392.14600299999989</v>
      </c>
      <c r="H762" s="5">
        <f t="shared" si="49"/>
        <v>-3.2953445630252092</v>
      </c>
    </row>
    <row r="763" spans="1:8" x14ac:dyDescent="0.25">
      <c r="A763" t="s">
        <v>765</v>
      </c>
      <c r="B763">
        <v>512603.10350000003</v>
      </c>
      <c r="C763">
        <v>561872.20600000001</v>
      </c>
      <c r="D763">
        <v>15345</v>
      </c>
      <c r="E763" s="5">
        <f t="shared" si="47"/>
        <v>33.405220169436298</v>
      </c>
      <c r="F763" s="5">
        <f t="shared" si="52"/>
        <v>-49269.102499999979</v>
      </c>
      <c r="G763" s="5">
        <f t="shared" si="48"/>
        <v>-492.6910249999998</v>
      </c>
      <c r="H763" s="5">
        <f t="shared" si="49"/>
        <v>-3.2107593678722699</v>
      </c>
    </row>
    <row r="764" spans="1:8" x14ac:dyDescent="0.25">
      <c r="A764" t="s">
        <v>766</v>
      </c>
      <c r="B764">
        <v>218104.06690000001</v>
      </c>
      <c r="C764">
        <v>238662.19209999999</v>
      </c>
      <c r="D764">
        <v>6525</v>
      </c>
      <c r="E764" s="5">
        <f t="shared" si="47"/>
        <v>33.425910636015324</v>
      </c>
      <c r="F764" s="5">
        <f t="shared" si="52"/>
        <v>-20558.12519999998</v>
      </c>
      <c r="G764" s="5">
        <f t="shared" si="48"/>
        <v>-205.58125199999981</v>
      </c>
      <c r="H764" s="5">
        <f t="shared" si="49"/>
        <v>-3.1506705287356294</v>
      </c>
    </row>
    <row r="765" spans="1:8" x14ac:dyDescent="0.25">
      <c r="A765" t="s">
        <v>767</v>
      </c>
      <c r="B765">
        <v>339004.33689999999</v>
      </c>
      <c r="C765">
        <v>371177.18689999997</v>
      </c>
      <c r="D765">
        <v>10153</v>
      </c>
      <c r="E765" s="5">
        <f t="shared" si="47"/>
        <v>33.389573219738011</v>
      </c>
      <c r="F765" s="5">
        <f t="shared" si="52"/>
        <v>-32172.849999999977</v>
      </c>
      <c r="G765" s="5">
        <f t="shared" si="48"/>
        <v>-321.72849999999977</v>
      </c>
      <c r="H765" s="5">
        <f t="shared" si="49"/>
        <v>-3.168802324436125</v>
      </c>
    </row>
    <row r="766" spans="1:8" x14ac:dyDescent="0.25">
      <c r="A766" t="s">
        <v>768</v>
      </c>
      <c r="B766">
        <v>278116.36930000002</v>
      </c>
      <c r="C766">
        <v>295645.62910000002</v>
      </c>
      <c r="D766">
        <v>8116</v>
      </c>
      <c r="E766" s="5">
        <f t="shared" si="47"/>
        <v>34.267665019714144</v>
      </c>
      <c r="F766" s="5">
        <f t="shared" si="52"/>
        <v>-17529.2598</v>
      </c>
      <c r="G766" s="5">
        <f t="shared" si="48"/>
        <v>-175.292598</v>
      </c>
      <c r="H766" s="5">
        <f t="shared" si="49"/>
        <v>-2.1598397979300148</v>
      </c>
    </row>
    <row r="767" spans="1:8" x14ac:dyDescent="0.25">
      <c r="A767" t="s">
        <v>769</v>
      </c>
      <c r="B767">
        <v>264159.30060000002</v>
      </c>
      <c r="C767">
        <v>280392.27360000001</v>
      </c>
      <c r="D767">
        <v>7712</v>
      </c>
      <c r="E767" s="5">
        <f t="shared" si="47"/>
        <v>34.253021343360999</v>
      </c>
      <c r="F767" s="5">
        <f t="shared" si="52"/>
        <v>-16232.972999999998</v>
      </c>
      <c r="G767" s="5">
        <f t="shared" si="48"/>
        <v>-162.32972999999998</v>
      </c>
      <c r="H767" s="5">
        <f t="shared" si="49"/>
        <v>-2.1048979512448129</v>
      </c>
    </row>
    <row r="768" spans="1:8" x14ac:dyDescent="0.25">
      <c r="A768" t="s">
        <v>770</v>
      </c>
      <c r="B768">
        <v>197778.13370000001</v>
      </c>
      <c r="C768">
        <v>209372.2922</v>
      </c>
      <c r="D768">
        <v>5759</v>
      </c>
      <c r="E768" s="5">
        <f t="shared" si="47"/>
        <v>34.342443774960934</v>
      </c>
      <c r="F768" s="5">
        <f t="shared" si="52"/>
        <v>-11594.15849999999</v>
      </c>
      <c r="G768" s="5">
        <f t="shared" si="48"/>
        <v>-115.9415849999999</v>
      </c>
      <c r="H768" s="5">
        <f t="shared" si="49"/>
        <v>-2.0132242576836239</v>
      </c>
    </row>
    <row r="769" spans="1:8" x14ac:dyDescent="0.25">
      <c r="A769" t="s">
        <v>771</v>
      </c>
      <c r="B769">
        <v>325749.00890000002</v>
      </c>
      <c r="C769">
        <v>345287.81150000001</v>
      </c>
      <c r="D769">
        <v>9501</v>
      </c>
      <c r="E769" s="5">
        <f t="shared" si="47"/>
        <v>34.285760330491527</v>
      </c>
      <c r="F769" s="5">
        <f t="shared" si="52"/>
        <v>-19538.802599999995</v>
      </c>
      <c r="G769" s="5">
        <f t="shared" si="48"/>
        <v>-195.38802599999997</v>
      </c>
      <c r="H769" s="5">
        <f t="shared" si="49"/>
        <v>-2.0564995895168923</v>
      </c>
    </row>
    <row r="770" spans="1:8" x14ac:dyDescent="0.25">
      <c r="A770" t="s">
        <v>772</v>
      </c>
      <c r="B770">
        <v>371561.97639999999</v>
      </c>
      <c r="C770">
        <v>393884.43300000002</v>
      </c>
      <c r="D770">
        <v>10840</v>
      </c>
      <c r="E770" s="5">
        <f t="shared" si="47"/>
        <v>34.276935092250923</v>
      </c>
      <c r="F770" s="5">
        <f t="shared" si="52"/>
        <v>-22322.456600000034</v>
      </c>
      <c r="G770" s="5">
        <f t="shared" si="48"/>
        <v>-223.22456600000035</v>
      </c>
      <c r="H770" s="5">
        <f t="shared" si="49"/>
        <v>-2.0592672140221433</v>
      </c>
    </row>
    <row r="771" spans="1:8" x14ac:dyDescent="0.25">
      <c r="A771" t="s">
        <v>773</v>
      </c>
      <c r="B771">
        <v>174581.67679999999</v>
      </c>
      <c r="C771">
        <v>185040.8173</v>
      </c>
      <c r="D771">
        <v>5089</v>
      </c>
      <c r="E771" s="5">
        <f t="shared" ref="E771:E834" si="53">B771/D771</f>
        <v>34.305694006681072</v>
      </c>
      <c r="F771" s="5">
        <f t="shared" si="52"/>
        <v>-10459.140500000009</v>
      </c>
      <c r="G771" s="5">
        <f t="shared" ref="G771:G834" si="54">F771/100</f>
        <v>-104.59140500000008</v>
      </c>
      <c r="H771" s="5">
        <f t="shared" ref="H771:H834" si="55">F771/D771</f>
        <v>-2.0552447435645527</v>
      </c>
    </row>
    <row r="772" spans="1:8" x14ac:dyDescent="0.25">
      <c r="A772" t="s">
        <v>774</v>
      </c>
      <c r="B772">
        <v>208489.3694</v>
      </c>
      <c r="C772">
        <v>221372.83689999999</v>
      </c>
      <c r="D772">
        <v>6087</v>
      </c>
      <c r="E772" s="5">
        <f t="shared" si="53"/>
        <v>34.251580318712008</v>
      </c>
      <c r="F772" s="5">
        <f t="shared" si="52"/>
        <v>-12883.467499999999</v>
      </c>
      <c r="G772" s="5">
        <f t="shared" si="54"/>
        <v>-128.83467499999998</v>
      </c>
      <c r="H772" s="5">
        <f t="shared" si="55"/>
        <v>-2.1165545424675538</v>
      </c>
    </row>
    <row r="773" spans="1:8" x14ac:dyDescent="0.25">
      <c r="A773" t="s">
        <v>775</v>
      </c>
      <c r="B773">
        <v>84495.166670000006</v>
      </c>
      <c r="C773">
        <v>74682.266820000004</v>
      </c>
      <c r="D773">
        <v>2053</v>
      </c>
      <c r="E773" s="5">
        <f t="shared" si="53"/>
        <v>41.156924827082321</v>
      </c>
      <c r="F773" s="5">
        <f t="shared" si="52"/>
        <v>9812.8998500000016</v>
      </c>
      <c r="G773" s="5">
        <f t="shared" si="54"/>
        <v>98.128998500000023</v>
      </c>
      <c r="H773" s="5">
        <f t="shared" si="55"/>
        <v>4.7797856064296163</v>
      </c>
    </row>
    <row r="774" spans="1:8" x14ac:dyDescent="0.25">
      <c r="A774" t="s">
        <v>776</v>
      </c>
      <c r="B774">
        <v>76661.250029999996</v>
      </c>
      <c r="C774">
        <v>66379.563599999994</v>
      </c>
      <c r="D774">
        <v>1825</v>
      </c>
      <c r="E774" s="5">
        <f t="shared" si="53"/>
        <v>42.006164399999996</v>
      </c>
      <c r="F774" s="5">
        <f t="shared" si="52"/>
        <v>10281.686430000002</v>
      </c>
      <c r="G774" s="5">
        <f t="shared" si="54"/>
        <v>102.81686430000002</v>
      </c>
      <c r="H774" s="5">
        <f t="shared" si="55"/>
        <v>5.6338007835616448</v>
      </c>
    </row>
    <row r="775" spans="1:8" x14ac:dyDescent="0.25">
      <c r="A775" t="s">
        <v>777</v>
      </c>
      <c r="B775">
        <v>64034.940459999998</v>
      </c>
      <c r="C775">
        <v>55491.338530000001</v>
      </c>
      <c r="D775">
        <v>1525</v>
      </c>
      <c r="E775" s="5">
        <f t="shared" si="53"/>
        <v>41.990124891803276</v>
      </c>
      <c r="F775" s="5">
        <f t="shared" si="52"/>
        <v>8543.6019299999971</v>
      </c>
      <c r="G775" s="5">
        <f t="shared" si="54"/>
        <v>85.43601929999997</v>
      </c>
      <c r="H775" s="5">
        <f t="shared" si="55"/>
        <v>5.6023619213114735</v>
      </c>
    </row>
    <row r="776" spans="1:8" x14ac:dyDescent="0.25">
      <c r="A776" t="s">
        <v>778</v>
      </c>
      <c r="B776">
        <v>148839.9749</v>
      </c>
      <c r="C776">
        <v>129583.4921</v>
      </c>
      <c r="D776">
        <v>3542</v>
      </c>
      <c r="E776" s="5">
        <f t="shared" si="53"/>
        <v>42.021449717673633</v>
      </c>
      <c r="F776" s="5">
        <f t="shared" si="52"/>
        <v>19256.482799999998</v>
      </c>
      <c r="G776" s="5">
        <f t="shared" si="54"/>
        <v>192.56482799999998</v>
      </c>
      <c r="H776" s="5">
        <f t="shared" si="55"/>
        <v>5.4366128740824387</v>
      </c>
    </row>
    <row r="777" spans="1:8" x14ac:dyDescent="0.25">
      <c r="A777" t="s">
        <v>779</v>
      </c>
      <c r="B777">
        <v>172541.5079</v>
      </c>
      <c r="C777">
        <v>150538.98370000001</v>
      </c>
      <c r="D777">
        <v>4105</v>
      </c>
      <c r="E777" s="5">
        <f t="shared" si="53"/>
        <v>42.032036029232643</v>
      </c>
      <c r="F777" s="5">
        <f t="shared" si="52"/>
        <v>22002.524199999985</v>
      </c>
      <c r="G777" s="5">
        <f t="shared" si="54"/>
        <v>220.02524199999985</v>
      </c>
      <c r="H777" s="5">
        <f t="shared" si="55"/>
        <v>5.3599328136418967</v>
      </c>
    </row>
    <row r="778" spans="1:8" x14ac:dyDescent="0.25">
      <c r="A778" t="s">
        <v>780</v>
      </c>
      <c r="B778">
        <v>87991.663</v>
      </c>
      <c r="C778">
        <v>76378.504639999999</v>
      </c>
      <c r="D778">
        <v>2094</v>
      </c>
      <c r="E778" s="5">
        <f t="shared" si="53"/>
        <v>42.020851480420248</v>
      </c>
      <c r="F778" s="5">
        <f t="shared" si="52"/>
        <v>11613.158360000001</v>
      </c>
      <c r="G778" s="5">
        <f t="shared" si="54"/>
        <v>116.13158360000001</v>
      </c>
      <c r="H778" s="5">
        <f t="shared" si="55"/>
        <v>5.5459208978032484</v>
      </c>
    </row>
    <row r="779" spans="1:8" x14ac:dyDescent="0.25">
      <c r="A779" t="s">
        <v>781</v>
      </c>
      <c r="B779">
        <v>123445.38159999999</v>
      </c>
      <c r="C779">
        <v>108669.2254</v>
      </c>
      <c r="D779">
        <v>2940</v>
      </c>
      <c r="E779" s="5">
        <f t="shared" si="53"/>
        <v>41.988225034013603</v>
      </c>
      <c r="F779" s="5">
        <f t="shared" si="52"/>
        <v>14776.156199999998</v>
      </c>
      <c r="G779" s="5">
        <f t="shared" si="54"/>
        <v>147.76156199999997</v>
      </c>
      <c r="H779" s="5">
        <f t="shared" si="55"/>
        <v>5.025903469387754</v>
      </c>
    </row>
    <row r="780" spans="1:8" x14ac:dyDescent="0.25">
      <c r="A780" t="s">
        <v>782</v>
      </c>
      <c r="B780">
        <v>77344.691869999995</v>
      </c>
      <c r="C780">
        <v>68269.24884</v>
      </c>
      <c r="D780">
        <v>1841</v>
      </c>
      <c r="E780" s="5">
        <f t="shared" si="53"/>
        <v>42.012325839217816</v>
      </c>
      <c r="F780" s="5">
        <f t="shared" si="52"/>
        <v>9075.4430299999949</v>
      </c>
      <c r="G780" s="5">
        <f t="shared" si="54"/>
        <v>90.754430299999953</v>
      </c>
      <c r="H780" s="5">
        <f t="shared" si="55"/>
        <v>4.929626849538292</v>
      </c>
    </row>
    <row r="781" spans="1:8" x14ac:dyDescent="0.25">
      <c r="A781" t="s">
        <v>783</v>
      </c>
      <c r="B781">
        <v>158963.02489999999</v>
      </c>
      <c r="C781">
        <v>167521.52590000001</v>
      </c>
      <c r="D781">
        <v>4529</v>
      </c>
      <c r="E781" s="5">
        <f t="shared" si="53"/>
        <v>35.098923581364538</v>
      </c>
      <c r="F781" s="5">
        <f t="shared" si="52"/>
        <v>-8558.5010000000184</v>
      </c>
      <c r="G781" s="5">
        <f t="shared" si="54"/>
        <v>-85.585010000000182</v>
      </c>
      <c r="H781" s="5">
        <f t="shared" si="55"/>
        <v>-1.8897109737248881</v>
      </c>
    </row>
    <row r="782" spans="1:8" x14ac:dyDescent="0.25">
      <c r="A782" t="s">
        <v>784</v>
      </c>
      <c r="B782">
        <v>69598.071150000003</v>
      </c>
      <c r="C782">
        <v>61492.968309999997</v>
      </c>
      <c r="D782">
        <v>1658</v>
      </c>
      <c r="E782" s="5">
        <f t="shared" si="53"/>
        <v>41.977123733413755</v>
      </c>
      <c r="F782" s="5">
        <f t="shared" si="52"/>
        <v>8105.1028400000068</v>
      </c>
      <c r="G782" s="5">
        <f t="shared" si="54"/>
        <v>81.051028400000064</v>
      </c>
      <c r="H782" s="5">
        <f t="shared" si="55"/>
        <v>4.8884818094089306</v>
      </c>
    </row>
    <row r="783" spans="1:8" x14ac:dyDescent="0.25">
      <c r="A783" t="s">
        <v>785</v>
      </c>
      <c r="B783">
        <v>161275.60219999999</v>
      </c>
      <c r="C783">
        <v>143446.35829999999</v>
      </c>
      <c r="D783">
        <v>3841</v>
      </c>
      <c r="E783" s="5">
        <f t="shared" si="53"/>
        <v>41.987920385316322</v>
      </c>
      <c r="F783" s="5">
        <f t="shared" si="52"/>
        <v>17829.243900000001</v>
      </c>
      <c r="G783" s="5">
        <f t="shared" si="54"/>
        <v>178.292439</v>
      </c>
      <c r="H783" s="5">
        <f t="shared" si="55"/>
        <v>4.6418234574329604</v>
      </c>
    </row>
    <row r="784" spans="1:8" x14ac:dyDescent="0.25">
      <c r="A784" t="s">
        <v>786</v>
      </c>
      <c r="B784">
        <v>325215.07679999998</v>
      </c>
      <c r="C784">
        <v>345446.00180000003</v>
      </c>
      <c r="D784">
        <v>9260</v>
      </c>
      <c r="E784" s="5">
        <f t="shared" si="53"/>
        <v>35.120418660907127</v>
      </c>
      <c r="F784" s="5">
        <f t="shared" si="52"/>
        <v>-20230.925000000047</v>
      </c>
      <c r="G784" s="5">
        <f t="shared" si="54"/>
        <v>-202.30925000000047</v>
      </c>
      <c r="H784" s="5">
        <f t="shared" si="55"/>
        <v>-2.1847651187905019</v>
      </c>
    </row>
    <row r="785" spans="1:8" x14ac:dyDescent="0.25">
      <c r="A785" t="s">
        <v>787</v>
      </c>
      <c r="B785">
        <v>96957.295840000006</v>
      </c>
      <c r="C785">
        <v>86455.494380000004</v>
      </c>
      <c r="D785">
        <v>2308</v>
      </c>
      <c r="E785" s="5">
        <f t="shared" si="53"/>
        <v>42.009226967071058</v>
      </c>
      <c r="F785" s="5">
        <f t="shared" si="52"/>
        <v>10501.801460000002</v>
      </c>
      <c r="G785" s="5">
        <f t="shared" si="54"/>
        <v>105.01801460000003</v>
      </c>
      <c r="H785" s="5">
        <f t="shared" si="55"/>
        <v>4.5501739428076267</v>
      </c>
    </row>
    <row r="786" spans="1:8" x14ac:dyDescent="0.25">
      <c r="A786" t="s">
        <v>788</v>
      </c>
      <c r="B786">
        <v>85224.47709</v>
      </c>
      <c r="C786">
        <v>75960.71802</v>
      </c>
      <c r="D786">
        <v>2028</v>
      </c>
      <c r="E786" s="5">
        <f t="shared" si="53"/>
        <v>42.023903890532544</v>
      </c>
      <c r="F786" s="5">
        <f t="shared" si="52"/>
        <v>9263.7590700000001</v>
      </c>
      <c r="G786" s="5">
        <f t="shared" si="54"/>
        <v>92.637590700000004</v>
      </c>
      <c r="H786" s="5">
        <f t="shared" si="55"/>
        <v>4.5679285355029586</v>
      </c>
    </row>
    <row r="787" spans="1:8" x14ac:dyDescent="0.25">
      <c r="A787" t="s">
        <v>789</v>
      </c>
      <c r="B787">
        <v>54612.878839999998</v>
      </c>
      <c r="C787">
        <v>49071.802539999997</v>
      </c>
      <c r="D787">
        <v>1301</v>
      </c>
      <c r="E787" s="5">
        <f t="shared" si="53"/>
        <v>41.977616325903149</v>
      </c>
      <c r="F787" s="5">
        <f t="shared" si="52"/>
        <v>5541.0763000000006</v>
      </c>
      <c r="G787" s="5">
        <f t="shared" si="54"/>
        <v>55.410763000000003</v>
      </c>
      <c r="H787" s="5">
        <f t="shared" si="55"/>
        <v>4.2590901614142975</v>
      </c>
    </row>
    <row r="788" spans="1:8" x14ac:dyDescent="0.25">
      <c r="A788" t="s">
        <v>790</v>
      </c>
      <c r="B788">
        <v>81530.612380000006</v>
      </c>
      <c r="C788">
        <v>81738.05644</v>
      </c>
      <c r="D788">
        <v>2213</v>
      </c>
      <c r="E788" s="5">
        <f t="shared" si="53"/>
        <v>36.841668495255313</v>
      </c>
      <c r="F788" s="5">
        <f t="shared" si="52"/>
        <v>-207.44405999999435</v>
      </c>
      <c r="G788" s="5">
        <f t="shared" si="54"/>
        <v>-2.0744405999999436</v>
      </c>
      <c r="H788" s="5">
        <f t="shared" si="55"/>
        <v>-9.3738843199274446E-2</v>
      </c>
    </row>
    <row r="789" spans="1:8" x14ac:dyDescent="0.25">
      <c r="A789" t="s">
        <v>791</v>
      </c>
      <c r="B789">
        <v>160947.53260000001</v>
      </c>
      <c r="C789">
        <v>162597.49679999999</v>
      </c>
      <c r="D789">
        <v>4404</v>
      </c>
      <c r="E789" s="5">
        <f t="shared" si="53"/>
        <v>36.545761262488647</v>
      </c>
      <c r="F789" s="5">
        <f t="shared" si="52"/>
        <v>-1649.9641999999876</v>
      </c>
      <c r="G789" s="5">
        <f t="shared" si="54"/>
        <v>-16.499641999999877</v>
      </c>
      <c r="H789" s="5">
        <f t="shared" si="55"/>
        <v>-0.37465127157129602</v>
      </c>
    </row>
    <row r="790" spans="1:8" x14ac:dyDescent="0.25">
      <c r="A790" t="s">
        <v>792</v>
      </c>
      <c r="B790">
        <v>188736.24739999999</v>
      </c>
      <c r="C790">
        <v>183103.23370000001</v>
      </c>
      <c r="D790">
        <v>4935</v>
      </c>
      <c r="E790" s="5">
        <f t="shared" si="53"/>
        <v>38.244427031408307</v>
      </c>
      <c r="F790" s="5">
        <f t="shared" si="52"/>
        <v>5633.0136999999813</v>
      </c>
      <c r="G790" s="5">
        <f t="shared" si="54"/>
        <v>56.330136999999816</v>
      </c>
      <c r="H790" s="5">
        <f t="shared" si="55"/>
        <v>1.1414414792299861</v>
      </c>
    </row>
    <row r="791" spans="1:8" x14ac:dyDescent="0.25">
      <c r="A791" t="s">
        <v>793</v>
      </c>
      <c r="B791">
        <v>215951.5079</v>
      </c>
      <c r="C791">
        <v>210032.78810000001</v>
      </c>
      <c r="D791">
        <v>5609</v>
      </c>
      <c r="E791" s="5">
        <f t="shared" si="53"/>
        <v>38.500892832947052</v>
      </c>
      <c r="F791" s="5">
        <f t="shared" si="52"/>
        <v>5918.7197999999917</v>
      </c>
      <c r="G791" s="5">
        <f t="shared" si="54"/>
        <v>59.187197999999917</v>
      </c>
      <c r="H791" s="5">
        <f t="shared" si="55"/>
        <v>1.0552183633446233</v>
      </c>
    </row>
    <row r="792" spans="1:8" x14ac:dyDescent="0.25">
      <c r="A792" t="s">
        <v>794</v>
      </c>
      <c r="B792">
        <v>134995.85449999999</v>
      </c>
      <c r="C792">
        <v>129938.7058</v>
      </c>
      <c r="D792">
        <v>3452</v>
      </c>
      <c r="E792" s="5">
        <f t="shared" si="53"/>
        <v>39.106562717265348</v>
      </c>
      <c r="F792" s="5">
        <f t="shared" si="52"/>
        <v>5057.1486999999906</v>
      </c>
      <c r="G792" s="5">
        <f t="shared" si="54"/>
        <v>50.571486999999905</v>
      </c>
      <c r="H792" s="5">
        <f t="shared" si="55"/>
        <v>1.4649909327925812</v>
      </c>
    </row>
    <row r="793" spans="1:8" x14ac:dyDescent="0.25">
      <c r="A793" t="s">
        <v>795</v>
      </c>
      <c r="B793">
        <v>163079.378</v>
      </c>
      <c r="C793">
        <v>160332.5894</v>
      </c>
      <c r="D793">
        <v>4270</v>
      </c>
      <c r="E793" s="5">
        <f t="shared" si="53"/>
        <v>38.191891803278686</v>
      </c>
      <c r="F793" s="5">
        <f t="shared" si="52"/>
        <v>2746.7885999999999</v>
      </c>
      <c r="G793" s="5">
        <f t="shared" si="54"/>
        <v>27.467886</v>
      </c>
      <c r="H793" s="5">
        <f t="shared" si="55"/>
        <v>0.643276018735363</v>
      </c>
    </row>
    <row r="794" spans="1:8" x14ac:dyDescent="0.25">
      <c r="A794" t="s">
        <v>796</v>
      </c>
      <c r="B794">
        <v>180828.6741</v>
      </c>
      <c r="C794">
        <v>182962.337</v>
      </c>
      <c r="D794">
        <v>4719</v>
      </c>
      <c r="E794" s="5">
        <f t="shared" si="53"/>
        <v>38.319278258105534</v>
      </c>
      <c r="F794" s="5">
        <f t="shared" si="52"/>
        <v>-2133.6628999999957</v>
      </c>
      <c r="G794" s="5">
        <f t="shared" si="54"/>
        <v>-21.336628999999956</v>
      </c>
      <c r="H794" s="5">
        <f t="shared" si="55"/>
        <v>-0.45214301758847125</v>
      </c>
    </row>
    <row r="795" spans="1:8" x14ac:dyDescent="0.25">
      <c r="A795" t="s">
        <v>797</v>
      </c>
      <c r="B795">
        <v>171196.1752</v>
      </c>
      <c r="C795">
        <v>174428.68090000001</v>
      </c>
      <c r="D795">
        <v>4451</v>
      </c>
      <c r="E795" s="5">
        <f t="shared" si="53"/>
        <v>38.462407369130531</v>
      </c>
      <c r="F795" s="5">
        <f t="shared" si="52"/>
        <v>-3232.5057000000088</v>
      </c>
      <c r="G795" s="5">
        <f t="shared" si="54"/>
        <v>-32.325057000000086</v>
      </c>
      <c r="H795" s="5">
        <f t="shared" si="55"/>
        <v>-0.72624257470231601</v>
      </c>
    </row>
    <row r="796" spans="1:8" x14ac:dyDescent="0.25">
      <c r="A796" t="s">
        <v>798</v>
      </c>
      <c r="B796">
        <v>129719.0505</v>
      </c>
      <c r="C796">
        <v>131961.9325</v>
      </c>
      <c r="D796">
        <v>3364</v>
      </c>
      <c r="E796" s="5">
        <f t="shared" si="53"/>
        <v>38.560954369797862</v>
      </c>
      <c r="F796" s="5">
        <f t="shared" si="52"/>
        <v>-2242.8819999999978</v>
      </c>
      <c r="G796" s="5">
        <f t="shared" si="54"/>
        <v>-22.428819999999977</v>
      </c>
      <c r="H796" s="5">
        <f t="shared" si="55"/>
        <v>-0.66673067776456529</v>
      </c>
    </row>
    <row r="797" spans="1:8" x14ac:dyDescent="0.25">
      <c r="A797" t="s">
        <v>799</v>
      </c>
      <c r="B797">
        <v>142127.6421</v>
      </c>
      <c r="C797">
        <v>144039.4137</v>
      </c>
      <c r="D797">
        <v>3665</v>
      </c>
      <c r="E797" s="5">
        <f t="shared" si="53"/>
        <v>38.779711350613915</v>
      </c>
      <c r="F797" s="5">
        <f t="shared" si="52"/>
        <v>-1911.7716000000073</v>
      </c>
      <c r="G797" s="5">
        <f t="shared" si="54"/>
        <v>-19.117716000000073</v>
      </c>
      <c r="H797" s="5">
        <f t="shared" si="55"/>
        <v>-0.52162935879945627</v>
      </c>
    </row>
    <row r="798" spans="1:8" x14ac:dyDescent="0.25">
      <c r="A798" t="s">
        <v>800</v>
      </c>
      <c r="B798">
        <v>152124.40789999999</v>
      </c>
      <c r="C798">
        <v>153377.51199999999</v>
      </c>
      <c r="D798">
        <v>3889</v>
      </c>
      <c r="E798" s="5">
        <f t="shared" si="53"/>
        <v>39.116587271792234</v>
      </c>
      <c r="F798" s="5">
        <f t="shared" si="52"/>
        <v>-1253.1040999999968</v>
      </c>
      <c r="G798" s="5">
        <f t="shared" si="54"/>
        <v>-12.531040999999968</v>
      </c>
      <c r="H798" s="5">
        <f t="shared" si="55"/>
        <v>-0.32221756235536048</v>
      </c>
    </row>
    <row r="799" spans="1:8" x14ac:dyDescent="0.25">
      <c r="A799" t="s">
        <v>801</v>
      </c>
      <c r="B799">
        <v>74132.787020000003</v>
      </c>
      <c r="C799">
        <v>74332.279479999997</v>
      </c>
      <c r="D799">
        <v>1882</v>
      </c>
      <c r="E799" s="5">
        <f t="shared" si="53"/>
        <v>39.390428809776836</v>
      </c>
      <c r="F799" s="5">
        <f t="shared" si="52"/>
        <v>-199.49245999999403</v>
      </c>
      <c r="G799" s="5">
        <f t="shared" si="54"/>
        <v>-1.9949245999999403</v>
      </c>
      <c r="H799" s="5">
        <f t="shared" si="55"/>
        <v>-0.10600024442082573</v>
      </c>
    </row>
    <row r="800" spans="1:8" x14ac:dyDescent="0.25">
      <c r="A800" t="s">
        <v>802</v>
      </c>
      <c r="B800">
        <v>91143.028609999994</v>
      </c>
      <c r="C800">
        <v>95167.528730000005</v>
      </c>
      <c r="D800">
        <v>2405</v>
      </c>
      <c r="E800" s="5">
        <f t="shared" si="53"/>
        <v>37.897309193347191</v>
      </c>
      <c r="F800" s="5">
        <f t="shared" si="52"/>
        <v>-4024.5001200000115</v>
      </c>
      <c r="G800" s="5">
        <f t="shared" si="54"/>
        <v>-40.245001200000118</v>
      </c>
      <c r="H800" s="5">
        <f t="shared" si="55"/>
        <v>-1.673388823284828</v>
      </c>
    </row>
    <row r="801" spans="1:8" x14ac:dyDescent="0.25">
      <c r="A801" t="s">
        <v>803</v>
      </c>
      <c r="B801">
        <v>60528.093359999999</v>
      </c>
      <c r="C801">
        <v>62342.881170000001</v>
      </c>
      <c r="D801">
        <v>1577</v>
      </c>
      <c r="E801" s="5">
        <f t="shared" si="53"/>
        <v>38.381796677235258</v>
      </c>
      <c r="F801" s="5">
        <f t="shared" si="52"/>
        <v>-1814.7878100000016</v>
      </c>
      <c r="G801" s="5">
        <f t="shared" si="54"/>
        <v>-18.147878100000018</v>
      </c>
      <c r="H801" s="5">
        <f t="shared" si="55"/>
        <v>-1.1507849143944209</v>
      </c>
    </row>
    <row r="802" spans="1:8" x14ac:dyDescent="0.25">
      <c r="A802" t="s">
        <v>804</v>
      </c>
      <c r="B802">
        <v>38340.599609999997</v>
      </c>
      <c r="C802">
        <v>35918.335149999999</v>
      </c>
      <c r="D802">
        <v>913</v>
      </c>
      <c r="E802" s="5">
        <f t="shared" si="53"/>
        <v>41.99408500547645</v>
      </c>
      <c r="F802" s="5">
        <f t="shared" si="52"/>
        <v>2422.2644599999985</v>
      </c>
      <c r="G802" s="5">
        <f t="shared" si="54"/>
        <v>24.222644599999985</v>
      </c>
      <c r="H802" s="5">
        <f t="shared" si="55"/>
        <v>2.6530826506024079</v>
      </c>
    </row>
    <row r="803" spans="1:8" x14ac:dyDescent="0.25">
      <c r="A803" t="s">
        <v>805</v>
      </c>
      <c r="B803">
        <v>37453.006179999997</v>
      </c>
      <c r="C803">
        <v>35108.200109999998</v>
      </c>
      <c r="D803">
        <v>892</v>
      </c>
      <c r="E803" s="5">
        <f t="shared" si="53"/>
        <v>41.987675089686093</v>
      </c>
      <c r="F803" s="5">
        <f t="shared" si="52"/>
        <v>2344.8060699999987</v>
      </c>
      <c r="G803" s="5">
        <f t="shared" si="54"/>
        <v>23.448060699999989</v>
      </c>
      <c r="H803" s="5">
        <f t="shared" si="55"/>
        <v>2.6287063565022408</v>
      </c>
    </row>
    <row r="804" spans="1:8" x14ac:dyDescent="0.25">
      <c r="A804" t="s">
        <v>806</v>
      </c>
      <c r="B804">
        <v>77997.045010000002</v>
      </c>
      <c r="C804">
        <v>73051.675539999997</v>
      </c>
      <c r="D804">
        <v>1855</v>
      </c>
      <c r="E804" s="5">
        <f t="shared" si="53"/>
        <v>42.046924533692724</v>
      </c>
      <c r="F804" s="5">
        <f t="shared" si="52"/>
        <v>4945.3694700000051</v>
      </c>
      <c r="G804" s="5">
        <f t="shared" si="54"/>
        <v>49.45369470000005</v>
      </c>
      <c r="H804" s="5">
        <f t="shared" si="55"/>
        <v>2.6659673692722401</v>
      </c>
    </row>
    <row r="805" spans="1:8" x14ac:dyDescent="0.25">
      <c r="A805" t="s">
        <v>807</v>
      </c>
      <c r="B805">
        <v>79752.282680000004</v>
      </c>
      <c r="C805">
        <v>74962.816399999996</v>
      </c>
      <c r="D805">
        <v>1897</v>
      </c>
      <c r="E805" s="5">
        <f t="shared" si="53"/>
        <v>42.041266568265684</v>
      </c>
      <c r="F805" s="5">
        <f t="shared" si="52"/>
        <v>4789.4662800000078</v>
      </c>
      <c r="G805" s="5">
        <f t="shared" si="54"/>
        <v>47.894662800000077</v>
      </c>
      <c r="H805" s="5">
        <f t="shared" si="55"/>
        <v>2.5247581866104416</v>
      </c>
    </row>
    <row r="806" spans="1:8" x14ac:dyDescent="0.25">
      <c r="A806" t="s">
        <v>808</v>
      </c>
      <c r="B806">
        <v>37155.588479999999</v>
      </c>
      <c r="C806">
        <v>34962.830499999996</v>
      </c>
      <c r="D806">
        <v>883</v>
      </c>
      <c r="E806" s="5">
        <f t="shared" si="53"/>
        <v>42.078809150622874</v>
      </c>
      <c r="F806" s="5">
        <f t="shared" si="52"/>
        <v>2192.7579800000021</v>
      </c>
      <c r="G806" s="5">
        <f t="shared" si="54"/>
        <v>21.927579800000021</v>
      </c>
      <c r="H806" s="5">
        <f t="shared" si="55"/>
        <v>2.4833046206115541</v>
      </c>
    </row>
    <row r="807" spans="1:8" x14ac:dyDescent="0.25">
      <c r="A807" t="s">
        <v>809</v>
      </c>
      <c r="B807">
        <v>45046.513209999997</v>
      </c>
      <c r="C807">
        <v>42368.04535</v>
      </c>
      <c r="D807">
        <v>1071</v>
      </c>
      <c r="E807" s="5">
        <f t="shared" si="53"/>
        <v>42.060236423902893</v>
      </c>
      <c r="F807" s="5">
        <f t="shared" si="52"/>
        <v>2678.467859999997</v>
      </c>
      <c r="G807" s="5">
        <f t="shared" si="54"/>
        <v>26.784678599999971</v>
      </c>
      <c r="H807" s="5">
        <f t="shared" si="55"/>
        <v>2.5009036974789889</v>
      </c>
    </row>
    <row r="808" spans="1:8" x14ac:dyDescent="0.25">
      <c r="A808" t="s">
        <v>810</v>
      </c>
      <c r="B808">
        <v>55489.332759999998</v>
      </c>
      <c r="C808">
        <v>52263.056989999997</v>
      </c>
      <c r="D808">
        <v>1320</v>
      </c>
      <c r="E808" s="5">
        <f t="shared" si="53"/>
        <v>42.0373733030303</v>
      </c>
      <c r="F808" s="5">
        <f t="shared" si="52"/>
        <v>3226.2757700000002</v>
      </c>
      <c r="G808" s="5">
        <f t="shared" si="54"/>
        <v>32.262757700000002</v>
      </c>
      <c r="H808" s="5">
        <f t="shared" si="55"/>
        <v>2.4441483106060606</v>
      </c>
    </row>
    <row r="809" spans="1:8" x14ac:dyDescent="0.25">
      <c r="A809" t="s">
        <v>811</v>
      </c>
      <c r="B809">
        <v>41893.303160000003</v>
      </c>
      <c r="C809">
        <v>39495.455900000001</v>
      </c>
      <c r="D809">
        <v>997</v>
      </c>
      <c r="E809" s="5">
        <f t="shared" si="53"/>
        <v>42.019361243731197</v>
      </c>
      <c r="F809" s="5">
        <f t="shared" si="52"/>
        <v>2397.8472600000023</v>
      </c>
      <c r="G809" s="5">
        <f t="shared" si="54"/>
        <v>23.978472600000021</v>
      </c>
      <c r="H809" s="5">
        <f t="shared" si="55"/>
        <v>2.4050624473420283</v>
      </c>
    </row>
    <row r="810" spans="1:8" x14ac:dyDescent="0.25">
      <c r="A810" t="s">
        <v>812</v>
      </c>
      <c r="B810">
        <v>34348.50419</v>
      </c>
      <c r="C810">
        <v>32292.837599999999</v>
      </c>
      <c r="D810">
        <v>817</v>
      </c>
      <c r="E810" s="5">
        <f t="shared" si="53"/>
        <v>42.042232790697675</v>
      </c>
      <c r="F810" s="5">
        <f t="shared" si="52"/>
        <v>2055.6665900000007</v>
      </c>
      <c r="G810" s="5">
        <f t="shared" si="54"/>
        <v>20.556665900000006</v>
      </c>
      <c r="H810" s="5">
        <f t="shared" si="55"/>
        <v>2.5161157772337832</v>
      </c>
    </row>
    <row r="811" spans="1:8" x14ac:dyDescent="0.25">
      <c r="A811" t="s">
        <v>813</v>
      </c>
      <c r="B811">
        <v>78276.831219999993</v>
      </c>
      <c r="C811">
        <v>73746.758709999995</v>
      </c>
      <c r="D811">
        <v>1866</v>
      </c>
      <c r="E811" s="5">
        <f t="shared" si="53"/>
        <v>41.948998510182207</v>
      </c>
      <c r="F811" s="5">
        <f t="shared" si="52"/>
        <v>4530.0725099999981</v>
      </c>
      <c r="G811" s="5">
        <f t="shared" si="54"/>
        <v>45.30072509999998</v>
      </c>
      <c r="H811" s="5">
        <f t="shared" si="55"/>
        <v>2.4276915916398702</v>
      </c>
    </row>
    <row r="812" spans="1:8" x14ac:dyDescent="0.25">
      <c r="A812" t="s">
        <v>814</v>
      </c>
      <c r="B812">
        <v>92851.402660000007</v>
      </c>
      <c r="C812">
        <v>87451.566179999994</v>
      </c>
      <c r="D812">
        <v>2211</v>
      </c>
      <c r="E812" s="5">
        <f t="shared" si="53"/>
        <v>41.995206992311175</v>
      </c>
      <c r="F812" s="5">
        <f t="shared" si="52"/>
        <v>5399.8364800000127</v>
      </c>
      <c r="G812" s="5">
        <f t="shared" si="54"/>
        <v>53.998364800000125</v>
      </c>
      <c r="H812" s="5">
        <f t="shared" si="55"/>
        <v>2.4422598281320727</v>
      </c>
    </row>
    <row r="813" spans="1:8" x14ac:dyDescent="0.25">
      <c r="A813" t="s">
        <v>815</v>
      </c>
      <c r="B813">
        <v>54845.789299999997</v>
      </c>
      <c r="C813">
        <v>51625.511720000002</v>
      </c>
      <c r="D813">
        <v>1304</v>
      </c>
      <c r="E813" s="5">
        <f t="shared" si="53"/>
        <v>42.059654371165642</v>
      </c>
      <c r="F813" s="5">
        <f t="shared" si="52"/>
        <v>3220.2775799999945</v>
      </c>
      <c r="G813" s="5">
        <f t="shared" si="54"/>
        <v>32.202775799999948</v>
      </c>
      <c r="H813" s="5">
        <f t="shared" si="55"/>
        <v>2.4695380214723883</v>
      </c>
    </row>
    <row r="814" spans="1:8" x14ac:dyDescent="0.25">
      <c r="A814" t="s">
        <v>816</v>
      </c>
      <c r="B814">
        <v>48037.799899999998</v>
      </c>
      <c r="C814">
        <v>45187.641580000003</v>
      </c>
      <c r="D814">
        <v>1143</v>
      </c>
      <c r="E814" s="5">
        <f t="shared" si="53"/>
        <v>42.027821434820645</v>
      </c>
      <c r="F814" s="5">
        <f t="shared" si="52"/>
        <v>2850.158319999995</v>
      </c>
      <c r="G814" s="5">
        <f t="shared" si="54"/>
        <v>28.501583199999949</v>
      </c>
      <c r="H814" s="5">
        <f t="shared" si="55"/>
        <v>2.4935768328958838</v>
      </c>
    </row>
    <row r="815" spans="1:8" x14ac:dyDescent="0.25">
      <c r="A815" t="s">
        <v>817</v>
      </c>
      <c r="B815">
        <v>65905.723259999999</v>
      </c>
      <c r="C815">
        <v>62023.881300000001</v>
      </c>
      <c r="D815">
        <v>1573</v>
      </c>
      <c r="E815" s="5">
        <f t="shared" si="53"/>
        <v>41.898107603305782</v>
      </c>
      <c r="F815" s="5">
        <f t="shared" si="52"/>
        <v>3881.8419599999979</v>
      </c>
      <c r="G815" s="5">
        <f t="shared" si="54"/>
        <v>38.818419599999977</v>
      </c>
      <c r="H815" s="5">
        <f t="shared" si="55"/>
        <v>2.46779527018436</v>
      </c>
    </row>
    <row r="816" spans="1:8" x14ac:dyDescent="0.25">
      <c r="A816" t="s">
        <v>818</v>
      </c>
      <c r="B816">
        <v>84870.051300000006</v>
      </c>
      <c r="C816">
        <v>81472.827179999993</v>
      </c>
      <c r="D816">
        <v>2065</v>
      </c>
      <c r="E816" s="5">
        <f t="shared" si="53"/>
        <v>41.0992984503632</v>
      </c>
      <c r="F816" s="5">
        <f t="shared" si="52"/>
        <v>3397.2241200000135</v>
      </c>
      <c r="G816" s="5">
        <f t="shared" si="54"/>
        <v>33.972241200000134</v>
      </c>
      <c r="H816" s="5">
        <f t="shared" si="55"/>
        <v>1.6451448523002488</v>
      </c>
    </row>
    <row r="817" spans="1:8" x14ac:dyDescent="0.25">
      <c r="A817" t="s">
        <v>819</v>
      </c>
      <c r="B817">
        <v>262459.50569999998</v>
      </c>
      <c r="C817">
        <v>259298.4566</v>
      </c>
      <c r="D817">
        <v>6588</v>
      </c>
      <c r="E817" s="5">
        <f t="shared" si="53"/>
        <v>39.839026366120216</v>
      </c>
      <c r="F817" s="5">
        <f t="shared" si="52"/>
        <v>3161.0490999999747</v>
      </c>
      <c r="G817" s="5">
        <f t="shared" si="54"/>
        <v>31.610490999999747</v>
      </c>
      <c r="H817" s="5">
        <f t="shared" si="55"/>
        <v>0.47981923193685105</v>
      </c>
    </row>
    <row r="818" spans="1:8" x14ac:dyDescent="0.25">
      <c r="A818" t="s">
        <v>820</v>
      </c>
      <c r="B818">
        <v>228124.39799999999</v>
      </c>
      <c r="C818">
        <v>222208.3504</v>
      </c>
      <c r="D818">
        <v>5652</v>
      </c>
      <c r="E818" s="5">
        <f t="shared" si="53"/>
        <v>40.361712314225052</v>
      </c>
      <c r="F818" s="5">
        <f t="shared" ref="F818:F881" si="56" xml:space="preserve"> B818-C818</f>
        <v>5916.0475999999908</v>
      </c>
      <c r="G818" s="5">
        <f t="shared" si="54"/>
        <v>59.16047599999991</v>
      </c>
      <c r="H818" s="5">
        <f t="shared" si="55"/>
        <v>1.0467175513092695</v>
      </c>
    </row>
    <row r="819" spans="1:8" x14ac:dyDescent="0.25">
      <c r="A819" t="s">
        <v>821</v>
      </c>
      <c r="B819">
        <v>162929.4921</v>
      </c>
      <c r="C819">
        <v>161434.81510000001</v>
      </c>
      <c r="D819">
        <v>4103</v>
      </c>
      <c r="E819" s="5">
        <f t="shared" si="53"/>
        <v>39.709844528393859</v>
      </c>
      <c r="F819" s="5">
        <f t="shared" si="56"/>
        <v>1494.676999999996</v>
      </c>
      <c r="G819" s="5">
        <f t="shared" si="54"/>
        <v>14.94676999999996</v>
      </c>
      <c r="H819" s="5">
        <f t="shared" si="55"/>
        <v>0.36428881306361105</v>
      </c>
    </row>
    <row r="820" spans="1:8" x14ac:dyDescent="0.25">
      <c r="A820" t="s">
        <v>822</v>
      </c>
      <c r="B820">
        <v>58359.832179999998</v>
      </c>
      <c r="C820">
        <v>57681.569880000003</v>
      </c>
      <c r="D820">
        <v>1466</v>
      </c>
      <c r="E820" s="5">
        <f t="shared" si="53"/>
        <v>39.80888961800818</v>
      </c>
      <c r="F820" s="5">
        <f t="shared" si="56"/>
        <v>678.26229999999487</v>
      </c>
      <c r="G820" s="5">
        <f t="shared" si="54"/>
        <v>6.7826229999999486</v>
      </c>
      <c r="H820" s="5">
        <f t="shared" si="55"/>
        <v>0.46266186903137441</v>
      </c>
    </row>
    <row r="821" spans="1:8" x14ac:dyDescent="0.25">
      <c r="A821" t="s">
        <v>823</v>
      </c>
      <c r="B821">
        <v>85605.331919999997</v>
      </c>
      <c r="C821">
        <v>85022.380919999996</v>
      </c>
      <c r="D821">
        <v>2162</v>
      </c>
      <c r="E821" s="5">
        <f t="shared" si="53"/>
        <v>39.5954356706753</v>
      </c>
      <c r="F821" s="5">
        <f t="shared" si="56"/>
        <v>582.95100000000093</v>
      </c>
      <c r="G821" s="5">
        <f t="shared" si="54"/>
        <v>5.8295100000000097</v>
      </c>
      <c r="H821" s="5">
        <f t="shared" si="55"/>
        <v>0.26963506012951016</v>
      </c>
    </row>
    <row r="822" spans="1:8" x14ac:dyDescent="0.25">
      <c r="A822" t="s">
        <v>824</v>
      </c>
      <c r="B822">
        <v>84836.414340000003</v>
      </c>
      <c r="C822">
        <v>84595.217929999999</v>
      </c>
      <c r="D822">
        <v>2155</v>
      </c>
      <c r="E822" s="5">
        <f t="shared" si="53"/>
        <v>39.367245633410676</v>
      </c>
      <c r="F822" s="5">
        <f t="shared" si="56"/>
        <v>241.19641000000411</v>
      </c>
      <c r="G822" s="5">
        <f t="shared" si="54"/>
        <v>2.4119641000000409</v>
      </c>
      <c r="H822" s="5">
        <f t="shared" si="55"/>
        <v>0.11192408816705526</v>
      </c>
    </row>
    <row r="823" spans="1:8" x14ac:dyDescent="0.25">
      <c r="A823" t="s">
        <v>825</v>
      </c>
      <c r="B823">
        <v>64308.914219999999</v>
      </c>
      <c r="C823">
        <v>68427.594670000006</v>
      </c>
      <c r="D823">
        <v>1746</v>
      </c>
      <c r="E823" s="5">
        <f t="shared" si="53"/>
        <v>36.832138728522338</v>
      </c>
      <c r="F823" s="5">
        <f t="shared" si="56"/>
        <v>-4118.6804500000071</v>
      </c>
      <c r="G823" s="5">
        <f t="shared" si="54"/>
        <v>-41.186804500000072</v>
      </c>
      <c r="H823" s="5">
        <f t="shared" si="55"/>
        <v>-2.3589235108820201</v>
      </c>
    </row>
    <row r="824" spans="1:8" x14ac:dyDescent="0.25">
      <c r="A824" t="s">
        <v>826</v>
      </c>
      <c r="B824">
        <v>131168.48550000001</v>
      </c>
      <c r="C824">
        <v>138589.10010000001</v>
      </c>
      <c r="D824">
        <v>3554</v>
      </c>
      <c r="E824" s="5">
        <f t="shared" si="53"/>
        <v>36.907283483398992</v>
      </c>
      <c r="F824" s="5">
        <f t="shared" si="56"/>
        <v>-7420.6146000000008</v>
      </c>
      <c r="G824" s="5">
        <f t="shared" si="54"/>
        <v>-74.206146000000004</v>
      </c>
      <c r="H824" s="5">
        <f t="shared" si="55"/>
        <v>-2.0879613393359597</v>
      </c>
    </row>
    <row r="825" spans="1:8" x14ac:dyDescent="0.25">
      <c r="A825" t="s">
        <v>827</v>
      </c>
      <c r="B825">
        <v>232410.198</v>
      </c>
      <c r="C825">
        <v>245358.63</v>
      </c>
      <c r="D825">
        <v>6282</v>
      </c>
      <c r="E825" s="5">
        <f t="shared" si="53"/>
        <v>36.996211079274119</v>
      </c>
      <c r="F825" s="5">
        <f t="shared" si="56"/>
        <v>-12948.432000000001</v>
      </c>
      <c r="G825" s="5">
        <f t="shared" si="54"/>
        <v>-129.48432</v>
      </c>
      <c r="H825" s="5">
        <f t="shared" si="55"/>
        <v>-2.0611957975167146</v>
      </c>
    </row>
    <row r="826" spans="1:8" x14ac:dyDescent="0.25">
      <c r="A826" t="s">
        <v>828</v>
      </c>
      <c r="B826">
        <v>195831.0975</v>
      </c>
      <c r="C826">
        <v>205442.82810000001</v>
      </c>
      <c r="D826">
        <v>5259</v>
      </c>
      <c r="E826" s="5">
        <f t="shared" si="53"/>
        <v>37.237326012549914</v>
      </c>
      <c r="F826" s="5">
        <f t="shared" si="56"/>
        <v>-9611.7306000000099</v>
      </c>
      <c r="G826" s="5">
        <f t="shared" si="54"/>
        <v>-96.117306000000099</v>
      </c>
      <c r="H826" s="5">
        <f t="shared" si="55"/>
        <v>-1.8276726754135786</v>
      </c>
    </row>
    <row r="827" spans="1:8" x14ac:dyDescent="0.25">
      <c r="A827" t="s">
        <v>829</v>
      </c>
      <c r="B827">
        <v>90716.547890000002</v>
      </c>
      <c r="C827">
        <v>95543.133650000003</v>
      </c>
      <c r="D827">
        <v>2446</v>
      </c>
      <c r="E827" s="5">
        <f t="shared" si="53"/>
        <v>37.087713773507765</v>
      </c>
      <c r="F827" s="5">
        <f t="shared" si="56"/>
        <v>-4826.5857600000018</v>
      </c>
      <c r="G827" s="5">
        <f t="shared" si="54"/>
        <v>-48.265857600000018</v>
      </c>
      <c r="H827" s="5">
        <f t="shared" si="55"/>
        <v>-1.9732566475878994</v>
      </c>
    </row>
    <row r="828" spans="1:8" x14ac:dyDescent="0.25">
      <c r="A828" t="s">
        <v>830</v>
      </c>
      <c r="B828">
        <v>131638.0196</v>
      </c>
      <c r="C828">
        <v>130700.18889999999</v>
      </c>
      <c r="D828">
        <v>3345</v>
      </c>
      <c r="E828" s="5">
        <f t="shared" si="53"/>
        <v>39.35366804185351</v>
      </c>
      <c r="F828" s="5">
        <f t="shared" si="56"/>
        <v>937.83070000000589</v>
      </c>
      <c r="G828" s="5">
        <f t="shared" si="54"/>
        <v>9.3783070000000581</v>
      </c>
      <c r="H828" s="5">
        <f t="shared" si="55"/>
        <v>0.2803679222720496</v>
      </c>
    </row>
    <row r="829" spans="1:8" x14ac:dyDescent="0.25">
      <c r="A829" t="s">
        <v>831</v>
      </c>
      <c r="B829">
        <v>81910.872619999995</v>
      </c>
      <c r="C829">
        <v>79969.510550000006</v>
      </c>
      <c r="D829">
        <v>2048</v>
      </c>
      <c r="E829" s="5">
        <f t="shared" si="53"/>
        <v>39.995543271484372</v>
      </c>
      <c r="F829" s="5">
        <f t="shared" si="56"/>
        <v>1941.3620699999883</v>
      </c>
      <c r="G829" s="5">
        <f t="shared" si="54"/>
        <v>19.413620699999882</v>
      </c>
      <c r="H829" s="5">
        <f t="shared" si="55"/>
        <v>0.94793069824218179</v>
      </c>
    </row>
    <row r="830" spans="1:8" x14ac:dyDescent="0.25">
      <c r="A830" t="s">
        <v>832</v>
      </c>
      <c r="B830">
        <v>54821.908510000001</v>
      </c>
      <c r="C830">
        <v>50800.00851</v>
      </c>
      <c r="D830">
        <v>1303</v>
      </c>
      <c r="E830" s="5">
        <f t="shared" si="53"/>
        <v>42.073605917114349</v>
      </c>
      <c r="F830" s="5">
        <f t="shared" si="56"/>
        <v>4021.9000000000015</v>
      </c>
      <c r="G830" s="5">
        <f t="shared" si="54"/>
        <v>40.219000000000015</v>
      </c>
      <c r="H830" s="5">
        <f t="shared" si="55"/>
        <v>3.0866462010744447</v>
      </c>
    </row>
    <row r="831" spans="1:8" x14ac:dyDescent="0.25">
      <c r="A831" t="s">
        <v>833</v>
      </c>
      <c r="B831">
        <v>155615.41940000001</v>
      </c>
      <c r="C831">
        <v>171592.12590000001</v>
      </c>
      <c r="D831">
        <v>4413</v>
      </c>
      <c r="E831" s="5">
        <f t="shared" si="53"/>
        <v>35.262954769997734</v>
      </c>
      <c r="F831" s="5">
        <f t="shared" si="56"/>
        <v>-15976.7065</v>
      </c>
      <c r="G831" s="5">
        <f t="shared" si="54"/>
        <v>-159.767065</v>
      </c>
      <c r="H831" s="5">
        <f t="shared" si="55"/>
        <v>-3.6203731021980512</v>
      </c>
    </row>
    <row r="832" spans="1:8" x14ac:dyDescent="0.25">
      <c r="A832" t="s">
        <v>834</v>
      </c>
      <c r="B832">
        <v>264086.89380000002</v>
      </c>
      <c r="C832">
        <v>291378.57980000001</v>
      </c>
      <c r="D832">
        <v>7494</v>
      </c>
      <c r="E832" s="5">
        <f t="shared" si="53"/>
        <v>35.239777662129704</v>
      </c>
      <c r="F832" s="5">
        <f t="shared" si="56"/>
        <v>-27291.685999999987</v>
      </c>
      <c r="G832" s="5">
        <f t="shared" si="54"/>
        <v>-272.91685999999987</v>
      </c>
      <c r="H832" s="5">
        <f t="shared" si="55"/>
        <v>-3.6418049105951411</v>
      </c>
    </row>
    <row r="833" spans="1:8" x14ac:dyDescent="0.25">
      <c r="A833" t="s">
        <v>835</v>
      </c>
      <c r="B833">
        <v>272761.29749999999</v>
      </c>
      <c r="C833">
        <v>298164.41609999997</v>
      </c>
      <c r="D833">
        <v>7738</v>
      </c>
      <c r="E833" s="5">
        <f t="shared" si="53"/>
        <v>35.249586133367792</v>
      </c>
      <c r="F833" s="5">
        <f t="shared" si="56"/>
        <v>-25403.118599999987</v>
      </c>
      <c r="G833" s="5">
        <f t="shared" si="54"/>
        <v>-254.03118599999988</v>
      </c>
      <c r="H833" s="5">
        <f t="shared" si="55"/>
        <v>-3.2829049625226139</v>
      </c>
    </row>
    <row r="834" spans="1:8" x14ac:dyDescent="0.25">
      <c r="A834" t="s">
        <v>836</v>
      </c>
      <c r="B834">
        <v>104689.4279</v>
      </c>
      <c r="C834">
        <v>113609.3043</v>
      </c>
      <c r="D834">
        <v>2958</v>
      </c>
      <c r="E834" s="5">
        <f t="shared" si="53"/>
        <v>35.391963455037185</v>
      </c>
      <c r="F834" s="5">
        <f t="shared" si="56"/>
        <v>-8919.8764000000083</v>
      </c>
      <c r="G834" s="5">
        <f t="shared" si="54"/>
        <v>-89.198764000000082</v>
      </c>
      <c r="H834" s="5">
        <f t="shared" si="55"/>
        <v>-3.015509263015554</v>
      </c>
    </row>
    <row r="835" spans="1:8" x14ac:dyDescent="0.25">
      <c r="A835" t="s">
        <v>837</v>
      </c>
      <c r="B835">
        <v>131170.5969</v>
      </c>
      <c r="C835">
        <v>142022.8126</v>
      </c>
      <c r="D835">
        <v>3713</v>
      </c>
      <c r="E835" s="5">
        <f t="shared" ref="E835:E898" si="57">B835/D835</f>
        <v>35.327389415566927</v>
      </c>
      <c r="F835" s="5">
        <f t="shared" si="56"/>
        <v>-10852.215700000001</v>
      </c>
      <c r="G835" s="5">
        <f t="shared" ref="G835:G898" si="58">F835/100</f>
        <v>-108.52215700000001</v>
      </c>
      <c r="H835" s="5">
        <f t="shared" ref="H835:H898" si="59">F835/D835</f>
        <v>-2.9227621061136548</v>
      </c>
    </row>
    <row r="836" spans="1:8" x14ac:dyDescent="0.25">
      <c r="A836" t="s">
        <v>838</v>
      </c>
      <c r="B836">
        <v>123179.48940000001</v>
      </c>
      <c r="C836">
        <v>132714.9602</v>
      </c>
      <c r="D836">
        <v>3504</v>
      </c>
      <c r="E836" s="5">
        <f t="shared" si="57"/>
        <v>35.153963869863013</v>
      </c>
      <c r="F836" s="5">
        <f t="shared" si="56"/>
        <v>-9535.4707999999955</v>
      </c>
      <c r="G836" s="5">
        <f t="shared" si="58"/>
        <v>-95.35470799999996</v>
      </c>
      <c r="H836" s="5">
        <f t="shared" si="59"/>
        <v>-2.7213101598173504</v>
      </c>
    </row>
    <row r="837" spans="1:8" x14ac:dyDescent="0.25">
      <c r="A837" t="s">
        <v>839</v>
      </c>
      <c r="B837">
        <v>124431.04640000001</v>
      </c>
      <c r="C837">
        <v>132889.0569</v>
      </c>
      <c r="D837">
        <v>3534</v>
      </c>
      <c r="E837" s="5">
        <f t="shared" si="57"/>
        <v>35.209690548953027</v>
      </c>
      <c r="F837" s="5">
        <f t="shared" si="56"/>
        <v>-8458.0104999999894</v>
      </c>
      <c r="G837" s="5">
        <f t="shared" si="58"/>
        <v>-84.58010499999989</v>
      </c>
      <c r="H837" s="5">
        <f t="shared" si="59"/>
        <v>-2.3933249858517232</v>
      </c>
    </row>
    <row r="838" spans="1:8" x14ac:dyDescent="0.25">
      <c r="A838" t="s">
        <v>840</v>
      </c>
      <c r="B838">
        <v>162166.83600000001</v>
      </c>
      <c r="C838">
        <v>172225.65270000001</v>
      </c>
      <c r="D838">
        <v>4601</v>
      </c>
      <c r="E838" s="5">
        <f t="shared" si="57"/>
        <v>35.245997826559446</v>
      </c>
      <c r="F838" s="5">
        <f t="shared" si="56"/>
        <v>-10058.816699999996</v>
      </c>
      <c r="G838" s="5">
        <f t="shared" si="58"/>
        <v>-100.58816699999996</v>
      </c>
      <c r="H838" s="5">
        <f t="shared" si="59"/>
        <v>-2.1862240165181475</v>
      </c>
    </row>
    <row r="839" spans="1:8" x14ac:dyDescent="0.25">
      <c r="A839" t="s">
        <v>841</v>
      </c>
      <c r="B839">
        <v>354042.0232</v>
      </c>
      <c r="C839">
        <v>373200.30599999998</v>
      </c>
      <c r="D839">
        <v>10045</v>
      </c>
      <c r="E839" s="5">
        <f t="shared" si="57"/>
        <v>35.245597132901942</v>
      </c>
      <c r="F839" s="5">
        <f t="shared" si="56"/>
        <v>-19158.282799999986</v>
      </c>
      <c r="G839" s="5">
        <f t="shared" si="58"/>
        <v>-191.58282799999986</v>
      </c>
      <c r="H839" s="5">
        <f t="shared" si="59"/>
        <v>-1.9072456744649064</v>
      </c>
    </row>
    <row r="840" spans="1:8" x14ac:dyDescent="0.25">
      <c r="A840" t="s">
        <v>842</v>
      </c>
      <c r="B840">
        <v>327352.26140000002</v>
      </c>
      <c r="C840">
        <v>345338.62809999997</v>
      </c>
      <c r="D840">
        <v>9301</v>
      </c>
      <c r="E840" s="5">
        <f t="shared" si="57"/>
        <v>35.195383442640576</v>
      </c>
      <c r="F840" s="5">
        <f t="shared" si="56"/>
        <v>-17986.366699999955</v>
      </c>
      <c r="G840" s="5">
        <f t="shared" si="58"/>
        <v>-179.86366699999954</v>
      </c>
      <c r="H840" s="5">
        <f t="shared" si="59"/>
        <v>-1.93380998817331</v>
      </c>
    </row>
    <row r="841" spans="1:8" x14ac:dyDescent="0.25">
      <c r="A841" t="s">
        <v>843</v>
      </c>
      <c r="B841">
        <v>164809.30300000001</v>
      </c>
      <c r="C841">
        <v>175167.42879999999</v>
      </c>
      <c r="D841">
        <v>4678</v>
      </c>
      <c r="E841" s="5">
        <f t="shared" si="57"/>
        <v>35.230718896964518</v>
      </c>
      <c r="F841" s="5">
        <f t="shared" si="56"/>
        <v>-10358.12579999998</v>
      </c>
      <c r="G841" s="5">
        <f t="shared" si="58"/>
        <v>-103.58125799999979</v>
      </c>
      <c r="H841" s="5">
        <f t="shared" si="59"/>
        <v>-2.2142209918768661</v>
      </c>
    </row>
    <row r="842" spans="1:8" x14ac:dyDescent="0.25">
      <c r="A842" t="s">
        <v>844</v>
      </c>
      <c r="B842">
        <v>151157.79430000001</v>
      </c>
      <c r="C842">
        <v>159828.76500000001</v>
      </c>
      <c r="D842">
        <v>4294</v>
      </c>
      <c r="E842" s="5">
        <f t="shared" si="57"/>
        <v>35.202094620400558</v>
      </c>
      <c r="F842" s="5">
        <f t="shared" si="56"/>
        <v>-8670.9707000000053</v>
      </c>
      <c r="G842" s="5">
        <f t="shared" si="58"/>
        <v>-86.709707000000051</v>
      </c>
      <c r="H842" s="5">
        <f t="shared" si="59"/>
        <v>-2.0193224732184456</v>
      </c>
    </row>
    <row r="843" spans="1:8" x14ac:dyDescent="0.25">
      <c r="A843" t="s">
        <v>845</v>
      </c>
      <c r="B843">
        <v>126895.9365</v>
      </c>
      <c r="C843">
        <v>133726.2806</v>
      </c>
      <c r="D843">
        <v>3606</v>
      </c>
      <c r="E843" s="5">
        <f t="shared" si="57"/>
        <v>35.19022088186356</v>
      </c>
      <c r="F843" s="5">
        <f t="shared" si="56"/>
        <v>-6830.3441000000021</v>
      </c>
      <c r="G843" s="5">
        <f t="shared" si="58"/>
        <v>-68.303441000000021</v>
      </c>
      <c r="H843" s="5">
        <f t="shared" si="59"/>
        <v>-1.8941608707709379</v>
      </c>
    </row>
    <row r="844" spans="1:8" x14ac:dyDescent="0.25">
      <c r="A844" t="s">
        <v>846</v>
      </c>
      <c r="B844">
        <v>166395.44579999999</v>
      </c>
      <c r="C844">
        <v>179020.54250000001</v>
      </c>
      <c r="D844">
        <v>4838</v>
      </c>
      <c r="E844" s="5">
        <f t="shared" si="57"/>
        <v>34.393436502687059</v>
      </c>
      <c r="F844" s="5">
        <f t="shared" si="56"/>
        <v>-12625.096700000024</v>
      </c>
      <c r="G844" s="5">
        <f t="shared" si="58"/>
        <v>-126.25096700000023</v>
      </c>
      <c r="H844" s="5">
        <f t="shared" si="59"/>
        <v>-2.6095693881769377</v>
      </c>
    </row>
    <row r="845" spans="1:8" x14ac:dyDescent="0.25">
      <c r="A845" t="s">
        <v>847</v>
      </c>
      <c r="B845">
        <v>167796.3548</v>
      </c>
      <c r="C845">
        <v>182485.09890000001</v>
      </c>
      <c r="D845">
        <v>4914</v>
      </c>
      <c r="E845" s="5">
        <f t="shared" si="57"/>
        <v>34.146592348392346</v>
      </c>
      <c r="F845" s="5">
        <f t="shared" si="56"/>
        <v>-14688.744100000011</v>
      </c>
      <c r="G845" s="5">
        <f t="shared" si="58"/>
        <v>-146.88744100000011</v>
      </c>
      <c r="H845" s="5">
        <f t="shared" si="59"/>
        <v>-2.9891624135124157</v>
      </c>
    </row>
    <row r="846" spans="1:8" x14ac:dyDescent="0.25">
      <c r="A846" t="s">
        <v>848</v>
      </c>
      <c r="B846">
        <v>351146.01699999999</v>
      </c>
      <c r="C846">
        <v>380098.15639999998</v>
      </c>
      <c r="D846">
        <v>10269</v>
      </c>
      <c r="E846" s="5">
        <f t="shared" si="57"/>
        <v>34.194762586425163</v>
      </c>
      <c r="F846" s="5">
        <f t="shared" si="56"/>
        <v>-28952.139399999985</v>
      </c>
      <c r="G846" s="5">
        <f t="shared" si="58"/>
        <v>-289.52139399999987</v>
      </c>
      <c r="H846" s="5">
        <f t="shared" si="59"/>
        <v>-2.8193728113740368</v>
      </c>
    </row>
    <row r="847" spans="1:8" x14ac:dyDescent="0.25">
      <c r="A847" t="s">
        <v>849</v>
      </c>
      <c r="B847">
        <v>420738.82179999998</v>
      </c>
      <c r="C847">
        <v>455415.3493</v>
      </c>
      <c r="D847">
        <v>12317</v>
      </c>
      <c r="E847" s="5">
        <f t="shared" si="57"/>
        <v>34.159196378988391</v>
      </c>
      <c r="F847" s="5">
        <f t="shared" si="56"/>
        <v>-34676.527500000026</v>
      </c>
      <c r="G847" s="5">
        <f t="shared" si="58"/>
        <v>-346.76527500000026</v>
      </c>
      <c r="H847" s="5">
        <f t="shared" si="59"/>
        <v>-2.8153387594381769</v>
      </c>
    </row>
    <row r="848" spans="1:8" x14ac:dyDescent="0.25">
      <c r="A848" t="s">
        <v>850</v>
      </c>
      <c r="B848">
        <v>186166.1508</v>
      </c>
      <c r="C848">
        <v>202391.17869999999</v>
      </c>
      <c r="D848">
        <v>5453</v>
      </c>
      <c r="E848" s="5">
        <f t="shared" si="57"/>
        <v>34.140134017971761</v>
      </c>
      <c r="F848" s="5">
        <f t="shared" si="56"/>
        <v>-16225.027899999986</v>
      </c>
      <c r="G848" s="5">
        <f t="shared" si="58"/>
        <v>-162.25027899999986</v>
      </c>
      <c r="H848" s="5">
        <f t="shared" si="59"/>
        <v>-2.9754314872547196</v>
      </c>
    </row>
    <row r="849" spans="1:8" x14ac:dyDescent="0.25">
      <c r="A849" t="s">
        <v>851</v>
      </c>
      <c r="B849">
        <v>251449.52960000001</v>
      </c>
      <c r="C849">
        <v>273255.09850000002</v>
      </c>
      <c r="D849">
        <v>7372</v>
      </c>
      <c r="E849" s="5">
        <f t="shared" si="57"/>
        <v>34.108726207270756</v>
      </c>
      <c r="F849" s="5">
        <f t="shared" si="56"/>
        <v>-21805.568900000013</v>
      </c>
      <c r="G849" s="5">
        <f t="shared" si="58"/>
        <v>-218.05568900000014</v>
      </c>
      <c r="H849" s="5">
        <f t="shared" si="59"/>
        <v>-2.9578905181768871</v>
      </c>
    </row>
    <row r="850" spans="1:8" x14ac:dyDescent="0.25">
      <c r="A850" t="s">
        <v>852</v>
      </c>
      <c r="B850">
        <v>280321.81069999997</v>
      </c>
      <c r="C850">
        <v>302469.83199999999</v>
      </c>
      <c r="D850">
        <v>8211</v>
      </c>
      <c r="E850" s="5">
        <f t="shared" si="57"/>
        <v>34.139789392278644</v>
      </c>
      <c r="F850" s="5">
        <f t="shared" si="56"/>
        <v>-22148.021300000022</v>
      </c>
      <c r="G850" s="5">
        <f t="shared" si="58"/>
        <v>-221.48021300000022</v>
      </c>
      <c r="H850" s="5">
        <f t="shared" si="59"/>
        <v>-2.6973597978321791</v>
      </c>
    </row>
    <row r="851" spans="1:8" x14ac:dyDescent="0.25">
      <c r="A851" t="s">
        <v>853</v>
      </c>
      <c r="B851">
        <v>313434.93329999998</v>
      </c>
      <c r="C851">
        <v>337931.11700000003</v>
      </c>
      <c r="D851">
        <v>9182</v>
      </c>
      <c r="E851" s="5">
        <f t="shared" si="57"/>
        <v>34.135801927684597</v>
      </c>
      <c r="F851" s="5">
        <f t="shared" si="56"/>
        <v>-24496.183700000052</v>
      </c>
      <c r="G851" s="5">
        <f t="shared" si="58"/>
        <v>-244.96183700000051</v>
      </c>
      <c r="H851" s="5">
        <f t="shared" si="59"/>
        <v>-2.6678483663689887</v>
      </c>
    </row>
    <row r="852" spans="1:8" x14ac:dyDescent="0.25">
      <c r="A852" t="s">
        <v>854</v>
      </c>
      <c r="B852">
        <v>257324.60310000001</v>
      </c>
      <c r="C852">
        <v>276852.17989999999</v>
      </c>
      <c r="D852">
        <v>7520</v>
      </c>
      <c r="E852" s="5">
        <f t="shared" si="57"/>
        <v>34.21869722074468</v>
      </c>
      <c r="F852" s="5">
        <f t="shared" si="56"/>
        <v>-19527.576799999981</v>
      </c>
      <c r="G852" s="5">
        <f t="shared" si="58"/>
        <v>-195.2757679999998</v>
      </c>
      <c r="H852" s="5">
        <f t="shared" si="59"/>
        <v>-2.5967522340425506</v>
      </c>
    </row>
    <row r="853" spans="1:8" x14ac:dyDescent="0.25">
      <c r="A853" t="s">
        <v>855</v>
      </c>
      <c r="B853">
        <v>455554.33600000001</v>
      </c>
      <c r="C853">
        <v>489215.0675</v>
      </c>
      <c r="D853">
        <v>13321</v>
      </c>
      <c r="E853" s="5">
        <f t="shared" si="57"/>
        <v>34.198208542902186</v>
      </c>
      <c r="F853" s="5">
        <f t="shared" si="56"/>
        <v>-33660.731499999994</v>
      </c>
      <c r="G853" s="5">
        <f t="shared" si="58"/>
        <v>-336.60731499999997</v>
      </c>
      <c r="H853" s="5">
        <f t="shared" si="59"/>
        <v>-2.526892237819983</v>
      </c>
    </row>
    <row r="854" spans="1:8" x14ac:dyDescent="0.25">
      <c r="A854" t="s">
        <v>856</v>
      </c>
      <c r="B854">
        <v>556865.20330000005</v>
      </c>
      <c r="C854">
        <v>598925.6679</v>
      </c>
      <c r="D854">
        <v>16276</v>
      </c>
      <c r="E854" s="5">
        <f t="shared" si="57"/>
        <v>34.213885678299341</v>
      </c>
      <c r="F854" s="5">
        <f t="shared" si="56"/>
        <v>-42060.464599999948</v>
      </c>
      <c r="G854" s="5">
        <f t="shared" si="58"/>
        <v>-420.60464599999949</v>
      </c>
      <c r="H854" s="5">
        <f t="shared" si="59"/>
        <v>-2.584201560579992</v>
      </c>
    </row>
    <row r="855" spans="1:8" x14ac:dyDescent="0.25">
      <c r="A855" t="s">
        <v>857</v>
      </c>
      <c r="B855">
        <v>354856.04489999998</v>
      </c>
      <c r="C855">
        <v>380511.15919999999</v>
      </c>
      <c r="D855">
        <v>10388</v>
      </c>
      <c r="E855" s="5">
        <f t="shared" si="57"/>
        <v>34.160189150943395</v>
      </c>
      <c r="F855" s="5">
        <f t="shared" si="56"/>
        <v>-25655.114300000016</v>
      </c>
      <c r="G855" s="5">
        <f t="shared" si="58"/>
        <v>-256.55114300000014</v>
      </c>
      <c r="H855" s="5">
        <f t="shared" si="59"/>
        <v>-2.4696875529457083</v>
      </c>
    </row>
    <row r="856" spans="1:8" x14ac:dyDescent="0.25">
      <c r="A856" t="s">
        <v>858</v>
      </c>
      <c r="B856">
        <v>283284.58130000002</v>
      </c>
      <c r="C856">
        <v>304997.8518</v>
      </c>
      <c r="D856">
        <v>8298</v>
      </c>
      <c r="E856" s="5">
        <f t="shared" si="57"/>
        <v>34.138898686430466</v>
      </c>
      <c r="F856" s="5">
        <f t="shared" si="56"/>
        <v>-21713.270499999984</v>
      </c>
      <c r="G856" s="5">
        <f t="shared" si="58"/>
        <v>-217.13270499999985</v>
      </c>
      <c r="H856" s="5">
        <f t="shared" si="59"/>
        <v>-2.6166872137864527</v>
      </c>
    </row>
    <row r="857" spans="1:8" x14ac:dyDescent="0.25">
      <c r="A857" t="s">
        <v>859</v>
      </c>
      <c r="B857">
        <v>297500.674</v>
      </c>
      <c r="C857">
        <v>319786.35950000002</v>
      </c>
      <c r="D857">
        <v>8717</v>
      </c>
      <c r="E857" s="5">
        <f t="shared" si="57"/>
        <v>34.128791327291502</v>
      </c>
      <c r="F857" s="5">
        <f t="shared" si="56"/>
        <v>-22285.685500000021</v>
      </c>
      <c r="G857" s="5">
        <f t="shared" si="58"/>
        <v>-222.85685500000022</v>
      </c>
      <c r="H857" s="5">
        <f t="shared" si="59"/>
        <v>-2.5565774348973296</v>
      </c>
    </row>
    <row r="858" spans="1:8" x14ac:dyDescent="0.25">
      <c r="A858" t="s">
        <v>860</v>
      </c>
      <c r="B858">
        <v>285968.4878</v>
      </c>
      <c r="C858">
        <v>305506.99819999997</v>
      </c>
      <c r="D858">
        <v>8364</v>
      </c>
      <c r="E858" s="5">
        <f t="shared" si="57"/>
        <v>34.190397871831657</v>
      </c>
      <c r="F858" s="5">
        <f t="shared" si="56"/>
        <v>-19538.51039999997</v>
      </c>
      <c r="G858" s="5">
        <f t="shared" si="58"/>
        <v>-195.3851039999997</v>
      </c>
      <c r="H858" s="5">
        <f t="shared" si="59"/>
        <v>-2.3360246771879449</v>
      </c>
    </row>
    <row r="859" spans="1:8" x14ac:dyDescent="0.25">
      <c r="A859" t="s">
        <v>861</v>
      </c>
      <c r="B859">
        <v>237946.63269999999</v>
      </c>
      <c r="C859">
        <v>254527.4155</v>
      </c>
      <c r="D859">
        <v>6968</v>
      </c>
      <c r="E859" s="5">
        <f t="shared" si="57"/>
        <v>34.148483452927671</v>
      </c>
      <c r="F859" s="5">
        <f t="shared" si="56"/>
        <v>-16580.782800000015</v>
      </c>
      <c r="G859" s="5">
        <f t="shared" si="58"/>
        <v>-165.80782800000014</v>
      </c>
      <c r="H859" s="5">
        <f t="shared" si="59"/>
        <v>-2.3795612514351343</v>
      </c>
    </row>
    <row r="860" spans="1:8" x14ac:dyDescent="0.25">
      <c r="A860" t="s">
        <v>862</v>
      </c>
      <c r="B860">
        <v>340851.50589999999</v>
      </c>
      <c r="C860">
        <v>364361.03289999999</v>
      </c>
      <c r="D860">
        <v>9973</v>
      </c>
      <c r="E860" s="5">
        <f t="shared" si="57"/>
        <v>34.177429650055146</v>
      </c>
      <c r="F860" s="5">
        <f t="shared" si="56"/>
        <v>-23509.527000000002</v>
      </c>
      <c r="G860" s="5">
        <f t="shared" si="58"/>
        <v>-235.09527000000003</v>
      </c>
      <c r="H860" s="5">
        <f t="shared" si="59"/>
        <v>-2.3573174571342626</v>
      </c>
    </row>
    <row r="861" spans="1:8" x14ac:dyDescent="0.25">
      <c r="A861" t="s">
        <v>863</v>
      </c>
      <c r="B861">
        <v>388187.60139999999</v>
      </c>
      <c r="C861">
        <v>414644.62349999999</v>
      </c>
      <c r="D861">
        <v>11363</v>
      </c>
      <c r="E861" s="5">
        <f t="shared" si="57"/>
        <v>34.162422018833055</v>
      </c>
      <c r="F861" s="5">
        <f t="shared" si="56"/>
        <v>-26457.022100000002</v>
      </c>
      <c r="G861" s="5">
        <f t="shared" si="58"/>
        <v>-264.570221</v>
      </c>
      <c r="H861" s="5">
        <f t="shared" si="59"/>
        <v>-2.3283483323066094</v>
      </c>
    </row>
    <row r="862" spans="1:8" x14ac:dyDescent="0.25">
      <c r="A862" t="s">
        <v>864</v>
      </c>
      <c r="B862">
        <v>139178.9841</v>
      </c>
      <c r="C862">
        <v>148731.09049999999</v>
      </c>
      <c r="D862">
        <v>4074</v>
      </c>
      <c r="E862" s="5">
        <f t="shared" si="57"/>
        <v>34.162735419734908</v>
      </c>
      <c r="F862" s="5">
        <f t="shared" si="56"/>
        <v>-9552.1063999999897</v>
      </c>
      <c r="G862" s="5">
        <f t="shared" si="58"/>
        <v>-95.521063999999896</v>
      </c>
      <c r="H862" s="5">
        <f t="shared" si="59"/>
        <v>-2.3446505645557165</v>
      </c>
    </row>
    <row r="863" spans="1:8" x14ac:dyDescent="0.25">
      <c r="A863" t="s">
        <v>865</v>
      </c>
      <c r="B863">
        <v>66400.303050000002</v>
      </c>
      <c r="C863">
        <v>57741.73891</v>
      </c>
      <c r="D863">
        <v>1579</v>
      </c>
      <c r="E863" s="5">
        <f t="shared" si="57"/>
        <v>42.052123527549085</v>
      </c>
      <c r="F863" s="5">
        <f t="shared" si="56"/>
        <v>8658.5641400000022</v>
      </c>
      <c r="G863" s="5">
        <f t="shared" si="58"/>
        <v>86.585641400000029</v>
      </c>
      <c r="H863" s="5">
        <f t="shared" si="59"/>
        <v>5.4835745028499066</v>
      </c>
    </row>
    <row r="864" spans="1:8" x14ac:dyDescent="0.25">
      <c r="A864" t="s">
        <v>866</v>
      </c>
      <c r="B864">
        <v>42723.524460000001</v>
      </c>
      <c r="C864">
        <v>37112.985059999999</v>
      </c>
      <c r="D864">
        <v>1016</v>
      </c>
      <c r="E864" s="5">
        <f t="shared" si="57"/>
        <v>42.050713051181106</v>
      </c>
      <c r="F864" s="5">
        <f t="shared" si="56"/>
        <v>5610.5394000000015</v>
      </c>
      <c r="G864" s="5">
        <f t="shared" si="58"/>
        <v>56.105394000000018</v>
      </c>
      <c r="H864" s="5">
        <f t="shared" si="59"/>
        <v>5.5221844488188987</v>
      </c>
    </row>
    <row r="865" spans="1:8" x14ac:dyDescent="0.25">
      <c r="A865" t="s">
        <v>867</v>
      </c>
      <c r="B865">
        <v>35014.39948</v>
      </c>
      <c r="C865">
        <v>30393.740119999999</v>
      </c>
      <c r="D865">
        <v>832</v>
      </c>
      <c r="E865" s="5">
        <f t="shared" si="57"/>
        <v>42.084614759615384</v>
      </c>
      <c r="F865" s="5">
        <f t="shared" si="56"/>
        <v>4620.6593600000015</v>
      </c>
      <c r="G865" s="5">
        <f t="shared" si="58"/>
        <v>46.206593600000012</v>
      </c>
      <c r="H865" s="5">
        <f t="shared" si="59"/>
        <v>5.5536771153846169</v>
      </c>
    </row>
    <row r="866" spans="1:8" x14ac:dyDescent="0.25">
      <c r="A866" t="s">
        <v>868</v>
      </c>
      <c r="B866">
        <v>27210.406630000001</v>
      </c>
      <c r="C866">
        <v>23570.159159999999</v>
      </c>
      <c r="D866">
        <v>647</v>
      </c>
      <c r="E866" s="5">
        <f t="shared" si="57"/>
        <v>42.056269907264301</v>
      </c>
      <c r="F866" s="5">
        <f t="shared" si="56"/>
        <v>3640.2474700000021</v>
      </c>
      <c r="G866" s="5">
        <f t="shared" si="58"/>
        <v>36.40247470000002</v>
      </c>
      <c r="H866" s="5">
        <f t="shared" si="59"/>
        <v>5.6263484853168499</v>
      </c>
    </row>
    <row r="867" spans="1:8" x14ac:dyDescent="0.25">
      <c r="A867" t="s">
        <v>869</v>
      </c>
      <c r="B867">
        <v>79840.088250000001</v>
      </c>
      <c r="C867">
        <v>69078.714139999996</v>
      </c>
      <c r="D867">
        <v>1898</v>
      </c>
      <c r="E867" s="5">
        <f t="shared" si="57"/>
        <v>42.065378424657531</v>
      </c>
      <c r="F867" s="5">
        <f t="shared" si="56"/>
        <v>10761.374110000004</v>
      </c>
      <c r="G867" s="5">
        <f t="shared" si="58"/>
        <v>107.61374110000004</v>
      </c>
      <c r="H867" s="5">
        <f t="shared" si="59"/>
        <v>5.6698493730242383</v>
      </c>
    </row>
    <row r="868" spans="1:8" x14ac:dyDescent="0.25">
      <c r="A868" t="s">
        <v>870</v>
      </c>
      <c r="B868">
        <v>82484.44829</v>
      </c>
      <c r="C868">
        <v>71426.011639999997</v>
      </c>
      <c r="D868">
        <v>1961</v>
      </c>
      <c r="E868" s="5">
        <f t="shared" si="57"/>
        <v>42.062441759306473</v>
      </c>
      <c r="F868" s="5">
        <f t="shared" si="56"/>
        <v>11058.436650000003</v>
      </c>
      <c r="G868" s="5">
        <f t="shared" si="58"/>
        <v>110.58436650000003</v>
      </c>
      <c r="H868" s="5">
        <f t="shared" si="59"/>
        <v>5.6391823814380437</v>
      </c>
    </row>
    <row r="869" spans="1:8" x14ac:dyDescent="0.25">
      <c r="A869" t="s">
        <v>871</v>
      </c>
      <c r="B869">
        <v>51497.23734</v>
      </c>
      <c r="C869">
        <v>44611.939680000003</v>
      </c>
      <c r="D869">
        <v>1224</v>
      </c>
      <c r="E869" s="5">
        <f t="shared" si="57"/>
        <v>42.072906323529409</v>
      </c>
      <c r="F869" s="5">
        <f t="shared" si="56"/>
        <v>6885.2976599999965</v>
      </c>
      <c r="G869" s="5">
        <f t="shared" si="58"/>
        <v>68.852976599999963</v>
      </c>
      <c r="H869" s="5">
        <f t="shared" si="59"/>
        <v>5.6252431862745071</v>
      </c>
    </row>
    <row r="870" spans="1:8" x14ac:dyDescent="0.25">
      <c r="A870" t="s">
        <v>872</v>
      </c>
      <c r="B870">
        <v>42871.832869999998</v>
      </c>
      <c r="C870">
        <v>37139.308259999998</v>
      </c>
      <c r="D870">
        <v>1019</v>
      </c>
      <c r="E870" s="5">
        <f t="shared" si="57"/>
        <v>42.072456202158975</v>
      </c>
      <c r="F870" s="5">
        <f t="shared" si="56"/>
        <v>5732.5246100000004</v>
      </c>
      <c r="G870" s="5">
        <f t="shared" si="58"/>
        <v>57.325246100000001</v>
      </c>
      <c r="H870" s="5">
        <f t="shared" si="59"/>
        <v>5.6256374975466148</v>
      </c>
    </row>
    <row r="871" spans="1:8" x14ac:dyDescent="0.25">
      <c r="A871" t="s">
        <v>873</v>
      </c>
      <c r="B871">
        <v>39104.6391</v>
      </c>
      <c r="C871">
        <v>33890.360430000001</v>
      </c>
      <c r="D871">
        <v>930</v>
      </c>
      <c r="E871" s="5">
        <f t="shared" si="57"/>
        <v>42.047999032258062</v>
      </c>
      <c r="F871" s="5">
        <f t="shared" si="56"/>
        <v>5214.2786699999997</v>
      </c>
      <c r="G871" s="5">
        <f t="shared" si="58"/>
        <v>52.142786699999995</v>
      </c>
      <c r="H871" s="5">
        <f t="shared" si="59"/>
        <v>5.6067512580645156</v>
      </c>
    </row>
    <row r="872" spans="1:8" x14ac:dyDescent="0.25">
      <c r="A872" t="s">
        <v>874</v>
      </c>
      <c r="B872">
        <v>34406.750010000003</v>
      </c>
      <c r="C872">
        <v>29884.330590000001</v>
      </c>
      <c r="D872">
        <v>818</v>
      </c>
      <c r="E872" s="5">
        <f t="shared" si="57"/>
        <v>42.062041577017119</v>
      </c>
      <c r="F872" s="5">
        <f t="shared" si="56"/>
        <v>4522.419420000002</v>
      </c>
      <c r="G872" s="5">
        <f t="shared" si="58"/>
        <v>45.224194200000021</v>
      </c>
      <c r="H872" s="5">
        <f t="shared" si="59"/>
        <v>5.5286300977995131</v>
      </c>
    </row>
    <row r="873" spans="1:8" x14ac:dyDescent="0.25">
      <c r="A873" t="s">
        <v>875</v>
      </c>
      <c r="B873">
        <v>39403.658560000003</v>
      </c>
      <c r="C873">
        <v>34229.63192</v>
      </c>
      <c r="D873">
        <v>937</v>
      </c>
      <c r="E873" s="5">
        <f t="shared" si="57"/>
        <v>42.052997395944509</v>
      </c>
      <c r="F873" s="5">
        <f t="shared" si="56"/>
        <v>5174.0266400000037</v>
      </c>
      <c r="G873" s="5">
        <f t="shared" si="58"/>
        <v>51.740266400000039</v>
      </c>
      <c r="H873" s="5">
        <f t="shared" si="59"/>
        <v>5.5219067662753512</v>
      </c>
    </row>
    <row r="874" spans="1:8" x14ac:dyDescent="0.25">
      <c r="A874" t="s">
        <v>876</v>
      </c>
      <c r="B874">
        <v>96830.902419999999</v>
      </c>
      <c r="C874">
        <v>83926.003500000006</v>
      </c>
      <c r="D874">
        <v>2302</v>
      </c>
      <c r="E874" s="5">
        <f t="shared" si="57"/>
        <v>42.063815125977413</v>
      </c>
      <c r="F874" s="5">
        <f t="shared" si="56"/>
        <v>12904.898919999992</v>
      </c>
      <c r="G874" s="5">
        <f t="shared" si="58"/>
        <v>129.04898919999994</v>
      </c>
      <c r="H874" s="5">
        <f t="shared" si="59"/>
        <v>5.6059508774978246</v>
      </c>
    </row>
    <row r="875" spans="1:8" x14ac:dyDescent="0.25">
      <c r="A875" t="s">
        <v>877</v>
      </c>
      <c r="B875">
        <v>99380.3946</v>
      </c>
      <c r="C875">
        <v>86179.513389999993</v>
      </c>
      <c r="D875">
        <v>2363</v>
      </c>
      <c r="E875" s="5">
        <f t="shared" si="57"/>
        <v>42.056874566229368</v>
      </c>
      <c r="F875" s="5">
        <f t="shared" si="56"/>
        <v>13200.881210000007</v>
      </c>
      <c r="G875" s="5">
        <f t="shared" si="58"/>
        <v>132.00881210000006</v>
      </c>
      <c r="H875" s="5">
        <f t="shared" si="59"/>
        <v>5.58649225983919</v>
      </c>
    </row>
    <row r="876" spans="1:8" x14ac:dyDescent="0.25">
      <c r="A876" t="s">
        <v>878</v>
      </c>
      <c r="B876">
        <v>61656.181329999999</v>
      </c>
      <c r="C876">
        <v>53463.734559999997</v>
      </c>
      <c r="D876">
        <v>1466</v>
      </c>
      <c r="E876" s="5">
        <f t="shared" si="57"/>
        <v>42.057422462482947</v>
      </c>
      <c r="F876" s="5">
        <f t="shared" si="56"/>
        <v>8192.4467700000023</v>
      </c>
      <c r="G876" s="5">
        <f t="shared" si="58"/>
        <v>81.924467700000022</v>
      </c>
      <c r="H876" s="5">
        <f t="shared" si="59"/>
        <v>5.5882992974079144</v>
      </c>
    </row>
    <row r="877" spans="1:8" x14ac:dyDescent="0.25">
      <c r="A877" t="s">
        <v>879</v>
      </c>
      <c r="B877">
        <v>69163.557369999995</v>
      </c>
      <c r="C877">
        <v>59948.438710000002</v>
      </c>
      <c r="D877">
        <v>1644</v>
      </c>
      <c r="E877" s="5">
        <f t="shared" si="57"/>
        <v>42.070290371046227</v>
      </c>
      <c r="F877" s="5">
        <f t="shared" si="56"/>
        <v>9215.1186599999928</v>
      </c>
      <c r="G877" s="5">
        <f t="shared" si="58"/>
        <v>92.151186599999932</v>
      </c>
      <c r="H877" s="5">
        <f t="shared" si="59"/>
        <v>5.6053033211678791</v>
      </c>
    </row>
    <row r="878" spans="1:8" x14ac:dyDescent="0.25">
      <c r="A878" t="s">
        <v>880</v>
      </c>
      <c r="B878">
        <v>113112.86500000001</v>
      </c>
      <c r="C878">
        <v>117414.6989</v>
      </c>
      <c r="D878">
        <v>3224</v>
      </c>
      <c r="E878" s="5">
        <f t="shared" si="57"/>
        <v>35.084635545905712</v>
      </c>
      <c r="F878" s="5">
        <f t="shared" si="56"/>
        <v>-4301.8338999999978</v>
      </c>
      <c r="G878" s="5">
        <f t="shared" si="58"/>
        <v>-43.018338999999976</v>
      </c>
      <c r="H878" s="5">
        <f t="shared" si="59"/>
        <v>-1.3343157258064509</v>
      </c>
    </row>
    <row r="879" spans="1:8" x14ac:dyDescent="0.25">
      <c r="A879" t="s">
        <v>881</v>
      </c>
      <c r="B879">
        <v>253686.30249999999</v>
      </c>
      <c r="C879">
        <v>268974.57069999998</v>
      </c>
      <c r="D879">
        <v>7392</v>
      </c>
      <c r="E879" s="5">
        <f t="shared" si="57"/>
        <v>34.319034429112556</v>
      </c>
      <c r="F879" s="5">
        <f t="shared" si="56"/>
        <v>-15288.268199999991</v>
      </c>
      <c r="G879" s="5">
        <f t="shared" si="58"/>
        <v>-152.8826819999999</v>
      </c>
      <c r="H879" s="5">
        <f t="shared" si="59"/>
        <v>-2.0682181006493496</v>
      </c>
    </row>
    <row r="880" spans="1:8" x14ac:dyDescent="0.25">
      <c r="A880" t="s">
        <v>882</v>
      </c>
      <c r="B880">
        <v>210305.29190000001</v>
      </c>
      <c r="C880">
        <v>223289.0846</v>
      </c>
      <c r="D880">
        <v>6138</v>
      </c>
      <c r="E880" s="5">
        <f t="shared" si="57"/>
        <v>34.262836738351254</v>
      </c>
      <c r="F880" s="5">
        <f t="shared" si="56"/>
        <v>-12983.792699999991</v>
      </c>
      <c r="G880" s="5">
        <f t="shared" si="58"/>
        <v>-129.83792699999992</v>
      </c>
      <c r="H880" s="5">
        <f t="shared" si="59"/>
        <v>-2.1153132453567922</v>
      </c>
    </row>
    <row r="881" spans="1:8" x14ac:dyDescent="0.25">
      <c r="A881" t="s">
        <v>883</v>
      </c>
      <c r="B881">
        <v>364087.42430000001</v>
      </c>
      <c r="C881">
        <v>386499.89640000003</v>
      </c>
      <c r="D881">
        <v>10624</v>
      </c>
      <c r="E881" s="5">
        <f t="shared" si="57"/>
        <v>34.270277136671687</v>
      </c>
      <c r="F881" s="5">
        <f t="shared" si="56"/>
        <v>-22412.472100000014</v>
      </c>
      <c r="G881" s="5">
        <f t="shared" si="58"/>
        <v>-224.12472100000014</v>
      </c>
      <c r="H881" s="5">
        <f t="shared" si="59"/>
        <v>-2.1096076901355434</v>
      </c>
    </row>
    <row r="882" spans="1:8" x14ac:dyDescent="0.25">
      <c r="A882" t="s">
        <v>884</v>
      </c>
      <c r="B882">
        <v>397480.36949999997</v>
      </c>
      <c r="C882">
        <v>421674.10190000001</v>
      </c>
      <c r="D882">
        <v>11590</v>
      </c>
      <c r="E882" s="5">
        <f t="shared" si="57"/>
        <v>34.29511384814495</v>
      </c>
      <c r="F882" s="5">
        <f t="shared" ref="F882:F898" si="60" xml:space="preserve"> B882-C882</f>
        <v>-24193.732400000037</v>
      </c>
      <c r="G882" s="5">
        <f t="shared" si="58"/>
        <v>-241.93732400000036</v>
      </c>
      <c r="H882" s="5">
        <f t="shared" si="59"/>
        <v>-2.0874661259706677</v>
      </c>
    </row>
    <row r="883" spans="1:8" x14ac:dyDescent="0.25">
      <c r="A883" t="s">
        <v>885</v>
      </c>
      <c r="B883">
        <v>204028.17679999999</v>
      </c>
      <c r="C883">
        <v>216777.31570000001</v>
      </c>
      <c r="D883">
        <v>5959</v>
      </c>
      <c r="E883" s="5">
        <f t="shared" si="57"/>
        <v>34.238660312132907</v>
      </c>
      <c r="F883" s="5">
        <f t="shared" si="60"/>
        <v>-12749.13890000002</v>
      </c>
      <c r="G883" s="5">
        <f t="shared" si="58"/>
        <v>-127.4913890000002</v>
      </c>
      <c r="H883" s="5">
        <f t="shared" si="59"/>
        <v>-2.1394762376237657</v>
      </c>
    </row>
    <row r="884" spans="1:8" x14ac:dyDescent="0.25">
      <c r="A884" t="s">
        <v>886</v>
      </c>
      <c r="B884">
        <v>172797.9351</v>
      </c>
      <c r="C884">
        <v>183715.80720000001</v>
      </c>
      <c r="D884">
        <v>5048</v>
      </c>
      <c r="E884" s="5">
        <f t="shared" si="57"/>
        <v>34.230969710776549</v>
      </c>
      <c r="F884" s="5">
        <f t="shared" si="60"/>
        <v>-10917.872100000008</v>
      </c>
      <c r="G884" s="5">
        <f t="shared" si="58"/>
        <v>-109.17872100000008</v>
      </c>
      <c r="H884" s="5">
        <f t="shared" si="59"/>
        <v>-2.1628114302694152</v>
      </c>
    </row>
    <row r="885" spans="1:8" x14ac:dyDescent="0.25">
      <c r="A885" t="s">
        <v>887</v>
      </c>
      <c r="B885">
        <v>258970.65410000001</v>
      </c>
      <c r="C885">
        <v>274386.01539999997</v>
      </c>
      <c r="D885">
        <v>7542</v>
      </c>
      <c r="E885" s="5">
        <f t="shared" si="57"/>
        <v>34.337132604083799</v>
      </c>
      <c r="F885" s="5">
        <f t="shared" si="60"/>
        <v>-15415.36129999996</v>
      </c>
      <c r="G885" s="5">
        <f t="shared" si="58"/>
        <v>-154.15361299999961</v>
      </c>
      <c r="H885" s="5">
        <f t="shared" si="59"/>
        <v>-2.0439354680456061</v>
      </c>
    </row>
    <row r="886" spans="1:8" x14ac:dyDescent="0.25">
      <c r="A886" t="s">
        <v>888</v>
      </c>
      <c r="B886">
        <v>368789.57260000001</v>
      </c>
      <c r="C886">
        <v>391923.65960000001</v>
      </c>
      <c r="D886">
        <v>10761</v>
      </c>
      <c r="E886" s="5">
        <f t="shared" si="57"/>
        <v>34.27093881609516</v>
      </c>
      <c r="F886" s="5">
        <f t="shared" si="60"/>
        <v>-23134.087</v>
      </c>
      <c r="G886" s="5">
        <f t="shared" si="58"/>
        <v>-231.34087</v>
      </c>
      <c r="H886" s="5">
        <f t="shared" si="59"/>
        <v>-2.1498082891924541</v>
      </c>
    </row>
    <row r="887" spans="1:8" x14ac:dyDescent="0.25">
      <c r="A887" t="s">
        <v>889</v>
      </c>
      <c r="B887">
        <v>278071.38660000003</v>
      </c>
      <c r="C887">
        <v>295548.24160000001</v>
      </c>
      <c r="D887">
        <v>8120</v>
      </c>
      <c r="E887" s="5">
        <f t="shared" si="57"/>
        <v>34.245244655172414</v>
      </c>
      <c r="F887" s="5">
        <f t="shared" si="60"/>
        <v>-17476.854999999981</v>
      </c>
      <c r="G887" s="5">
        <f t="shared" si="58"/>
        <v>-174.76854999999981</v>
      </c>
      <c r="H887" s="5">
        <f t="shared" si="59"/>
        <v>-2.1523220443349729</v>
      </c>
    </row>
    <row r="888" spans="1:8" x14ac:dyDescent="0.25">
      <c r="A888" t="s">
        <v>890</v>
      </c>
      <c r="B888">
        <v>373959.36200000002</v>
      </c>
      <c r="C888">
        <v>396324.17869999999</v>
      </c>
      <c r="D888">
        <v>10896</v>
      </c>
      <c r="E888" s="5">
        <f t="shared" si="57"/>
        <v>34.32079313509545</v>
      </c>
      <c r="F888" s="5">
        <f t="shared" si="60"/>
        <v>-22364.816699999967</v>
      </c>
      <c r="G888" s="5">
        <f t="shared" si="58"/>
        <v>-223.64816699999966</v>
      </c>
      <c r="H888" s="5">
        <f t="shared" si="59"/>
        <v>-2.0525712830396445</v>
      </c>
    </row>
    <row r="889" spans="1:8" x14ac:dyDescent="0.25">
      <c r="A889" t="s">
        <v>891</v>
      </c>
      <c r="B889">
        <v>402057.25290000002</v>
      </c>
      <c r="C889">
        <v>426466.13219999999</v>
      </c>
      <c r="D889">
        <v>11726</v>
      </c>
      <c r="E889" s="5">
        <f t="shared" si="57"/>
        <v>34.28767294047416</v>
      </c>
      <c r="F889" s="5">
        <f t="shared" si="60"/>
        <v>-24408.879299999971</v>
      </c>
      <c r="G889" s="5">
        <f t="shared" si="58"/>
        <v>-244.08879299999973</v>
      </c>
      <c r="H889" s="5">
        <f t="shared" si="59"/>
        <v>-2.0816032150776027</v>
      </c>
    </row>
    <row r="890" spans="1:8" x14ac:dyDescent="0.25">
      <c r="A890" t="s">
        <v>892</v>
      </c>
      <c r="B890">
        <v>205719.45319999999</v>
      </c>
      <c r="C890">
        <v>218408.18210000001</v>
      </c>
      <c r="D890">
        <v>6007</v>
      </c>
      <c r="E890" s="5">
        <f t="shared" si="57"/>
        <v>34.246621142000997</v>
      </c>
      <c r="F890" s="5">
        <f t="shared" si="60"/>
        <v>-12688.728900000016</v>
      </c>
      <c r="G890" s="5">
        <f t="shared" si="58"/>
        <v>-126.88728900000017</v>
      </c>
      <c r="H890" s="5">
        <f t="shared" si="59"/>
        <v>-2.1123237722656927</v>
      </c>
    </row>
    <row r="891" spans="1:8" x14ac:dyDescent="0.25">
      <c r="A891" t="s">
        <v>893</v>
      </c>
      <c r="B891">
        <v>177626.95009999999</v>
      </c>
      <c r="C891">
        <v>188629.7542</v>
      </c>
      <c r="D891">
        <v>5185</v>
      </c>
      <c r="E891" s="5">
        <f t="shared" si="57"/>
        <v>34.257849585342328</v>
      </c>
      <c r="F891" s="5">
        <f t="shared" si="60"/>
        <v>-11002.804100000008</v>
      </c>
      <c r="G891" s="5">
        <f t="shared" si="58"/>
        <v>-110.02804100000009</v>
      </c>
      <c r="H891" s="5">
        <f t="shared" si="59"/>
        <v>-2.1220451494696255</v>
      </c>
    </row>
    <row r="892" spans="1:8" x14ac:dyDescent="0.25">
      <c r="A892" t="s">
        <v>894</v>
      </c>
      <c r="B892">
        <v>70441.90741</v>
      </c>
      <c r="C892">
        <v>60910.748399999997</v>
      </c>
      <c r="D892">
        <v>1675</v>
      </c>
      <c r="E892" s="5">
        <f t="shared" si="57"/>
        <v>42.054870095522389</v>
      </c>
      <c r="F892" s="5">
        <f t="shared" si="60"/>
        <v>9531.159010000003</v>
      </c>
      <c r="G892" s="5">
        <f t="shared" si="58"/>
        <v>95.311590100000032</v>
      </c>
      <c r="H892" s="5">
        <f t="shared" si="59"/>
        <v>5.6902441850746284</v>
      </c>
    </row>
    <row r="893" spans="1:8" x14ac:dyDescent="0.25">
      <c r="A893" t="s">
        <v>895</v>
      </c>
      <c r="B893">
        <v>162923.84959999999</v>
      </c>
      <c r="C893">
        <v>173292.68109999999</v>
      </c>
      <c r="D893">
        <v>4765</v>
      </c>
      <c r="E893" s="5">
        <f t="shared" si="57"/>
        <v>34.191783756558237</v>
      </c>
      <c r="F893" s="5">
        <f t="shared" si="60"/>
        <v>-10368.8315</v>
      </c>
      <c r="G893" s="5">
        <f t="shared" si="58"/>
        <v>-103.688315</v>
      </c>
      <c r="H893" s="5">
        <f t="shared" si="59"/>
        <v>-2.1760401888772298</v>
      </c>
    </row>
    <row r="894" spans="1:8" x14ac:dyDescent="0.25">
      <c r="A894" t="s">
        <v>896</v>
      </c>
      <c r="B894">
        <v>138752.5276</v>
      </c>
      <c r="C894">
        <v>143791.47810000001</v>
      </c>
      <c r="D894">
        <v>3953</v>
      </c>
      <c r="E894" s="5">
        <f t="shared" si="57"/>
        <v>35.100563521376174</v>
      </c>
      <c r="F894" s="5">
        <f t="shared" si="60"/>
        <v>-5038.9505000000063</v>
      </c>
      <c r="G894" s="5">
        <f t="shared" si="58"/>
        <v>-50.389505000000064</v>
      </c>
      <c r="H894" s="5">
        <f t="shared" si="59"/>
        <v>-1.2747155325069583</v>
      </c>
    </row>
    <row r="895" spans="1:8" x14ac:dyDescent="0.25">
      <c r="A895" t="s">
        <v>897</v>
      </c>
      <c r="B895">
        <v>252458.2622</v>
      </c>
      <c r="C895">
        <v>261502.3818</v>
      </c>
      <c r="D895">
        <v>7190</v>
      </c>
      <c r="E895" s="5">
        <f t="shared" si="57"/>
        <v>35.112414770514604</v>
      </c>
      <c r="F895" s="5">
        <f t="shared" si="60"/>
        <v>-9044.1196000000054</v>
      </c>
      <c r="G895" s="5">
        <f t="shared" si="58"/>
        <v>-90.441196000000048</v>
      </c>
      <c r="H895" s="5">
        <f t="shared" si="59"/>
        <v>-1.2578747705146043</v>
      </c>
    </row>
    <row r="896" spans="1:8" x14ac:dyDescent="0.25">
      <c r="A896" t="s">
        <v>898</v>
      </c>
      <c r="B896">
        <v>293917.85249999998</v>
      </c>
      <c r="C896">
        <v>311853.52049999998</v>
      </c>
      <c r="D896">
        <v>8577</v>
      </c>
      <c r="E896" s="5">
        <f t="shared" si="57"/>
        <v>34.268141832808674</v>
      </c>
      <c r="F896" s="5">
        <f t="shared" si="60"/>
        <v>-17935.668000000005</v>
      </c>
      <c r="G896" s="5">
        <f t="shared" si="58"/>
        <v>-179.35668000000004</v>
      </c>
      <c r="H896" s="5">
        <f t="shared" si="59"/>
        <v>-2.0911353620146911</v>
      </c>
    </row>
    <row r="897" spans="1:8" x14ac:dyDescent="0.25">
      <c r="A897" t="s">
        <v>899</v>
      </c>
      <c r="B897">
        <v>138350.12179999999</v>
      </c>
      <c r="C897">
        <v>143346.6746</v>
      </c>
      <c r="D897">
        <v>3943</v>
      </c>
      <c r="E897" s="5">
        <f t="shared" si="57"/>
        <v>35.087527720010144</v>
      </c>
      <c r="F897" s="5">
        <f t="shared" si="60"/>
        <v>-4996.5528000000049</v>
      </c>
      <c r="G897" s="5">
        <f t="shared" si="58"/>
        <v>-49.965528000000049</v>
      </c>
      <c r="H897" s="5">
        <f t="shared" si="59"/>
        <v>-1.2671957392848097</v>
      </c>
    </row>
    <row r="898" spans="1:8" x14ac:dyDescent="0.25">
      <c r="A898" t="s">
        <v>900</v>
      </c>
      <c r="B898">
        <v>130067.27559999999</v>
      </c>
      <c r="C898">
        <v>134950.56649999999</v>
      </c>
      <c r="D898">
        <v>3707</v>
      </c>
      <c r="E898" s="5">
        <f t="shared" si="57"/>
        <v>35.086937038036147</v>
      </c>
      <c r="F898" s="5">
        <f t="shared" si="60"/>
        <v>-4883.2908999999927</v>
      </c>
      <c r="G898" s="5">
        <f t="shared" si="58"/>
        <v>-48.83290899999993</v>
      </c>
      <c r="H898" s="5">
        <f t="shared" si="59"/>
        <v>-1.3173161316428359</v>
      </c>
    </row>
    <row r="899" spans="1:8" x14ac:dyDescent="0.25">
      <c r="A899" t="s">
        <v>901</v>
      </c>
      <c r="B899">
        <v>107168.6611</v>
      </c>
      <c r="C899">
        <v>111173.15850000001</v>
      </c>
      <c r="D899">
        <v>3054</v>
      </c>
      <c r="E899" s="5">
        <f t="shared" ref="E899:E962" si="61">B899/D899</f>
        <v>35.091244629993447</v>
      </c>
      <c r="F899" s="5">
        <f xml:space="preserve"> B899-C899</f>
        <v>-4004.4974000000075</v>
      </c>
      <c r="G899" s="5">
        <f t="shared" ref="G899:G962" si="62">F899/100</f>
        <v>-40.044974000000074</v>
      </c>
      <c r="H899" s="5">
        <f t="shared" ref="H899:H962" si="63">F899/D899</f>
        <v>-1.3112303208906377</v>
      </c>
    </row>
    <row r="900" spans="1:8" x14ac:dyDescent="0.25">
      <c r="A900" t="s">
        <v>902</v>
      </c>
      <c r="B900">
        <v>224030.55439999999</v>
      </c>
      <c r="C900">
        <v>237934.73420000001</v>
      </c>
      <c r="D900">
        <v>6541</v>
      </c>
      <c r="E900" s="5">
        <f t="shared" si="61"/>
        <v>34.250199419049075</v>
      </c>
      <c r="F900" s="5">
        <f t="shared" ref="F900:F963" si="64" xml:space="preserve"> B900-C900</f>
        <v>-13904.179800000013</v>
      </c>
      <c r="G900" s="5">
        <f t="shared" si="62"/>
        <v>-139.04179800000011</v>
      </c>
      <c r="H900" s="5">
        <f t="shared" si="63"/>
        <v>-2.1256963461244478</v>
      </c>
    </row>
    <row r="901" spans="1:8" x14ac:dyDescent="0.25">
      <c r="A901" t="s">
        <v>903</v>
      </c>
      <c r="B901">
        <v>201918.22210000001</v>
      </c>
      <c r="C901">
        <v>209095.56969999999</v>
      </c>
      <c r="D901">
        <v>5749</v>
      </c>
      <c r="E901" s="5">
        <f t="shared" si="61"/>
        <v>35.122320768829361</v>
      </c>
      <c r="F901" s="5">
        <f t="shared" si="64"/>
        <v>-7177.3475999999791</v>
      </c>
      <c r="G901" s="5">
        <f t="shared" si="62"/>
        <v>-71.773475999999789</v>
      </c>
      <c r="H901" s="5">
        <f t="shared" si="63"/>
        <v>-1.2484514872151642</v>
      </c>
    </row>
    <row r="902" spans="1:8" x14ac:dyDescent="0.25">
      <c r="A902" t="s">
        <v>904</v>
      </c>
      <c r="B902">
        <v>329344.2683</v>
      </c>
      <c r="C902">
        <v>341253.3296</v>
      </c>
      <c r="D902">
        <v>9385</v>
      </c>
      <c r="E902" s="5">
        <f t="shared" si="61"/>
        <v>35.0926231539691</v>
      </c>
      <c r="F902" s="5">
        <f t="shared" si="64"/>
        <v>-11909.061300000001</v>
      </c>
      <c r="G902" s="5">
        <f t="shared" si="62"/>
        <v>-119.09061300000002</v>
      </c>
      <c r="H902" s="5">
        <f t="shared" si="63"/>
        <v>-1.2689463292488015</v>
      </c>
    </row>
    <row r="903" spans="1:8" x14ac:dyDescent="0.25">
      <c r="A903" t="s">
        <v>905</v>
      </c>
      <c r="B903">
        <v>308642.97720000002</v>
      </c>
      <c r="C903">
        <v>327672.04149999999</v>
      </c>
      <c r="D903">
        <v>9012</v>
      </c>
      <c r="E903" s="5">
        <f t="shared" si="61"/>
        <v>34.248000133155792</v>
      </c>
      <c r="F903" s="5">
        <f t="shared" si="64"/>
        <v>-19029.064299999969</v>
      </c>
      <c r="G903" s="5">
        <f t="shared" si="62"/>
        <v>-190.2906429999997</v>
      </c>
      <c r="H903" s="5">
        <f t="shared" si="63"/>
        <v>-2.1115251109631568</v>
      </c>
    </row>
    <row r="904" spans="1:8" x14ac:dyDescent="0.25">
      <c r="A904" t="s">
        <v>906</v>
      </c>
      <c r="B904">
        <v>134472.40659999999</v>
      </c>
      <c r="C904">
        <v>139385.8762</v>
      </c>
      <c r="D904">
        <v>3831</v>
      </c>
      <c r="E904" s="5">
        <f t="shared" si="61"/>
        <v>35.101124145131813</v>
      </c>
      <c r="F904" s="5">
        <f t="shared" si="64"/>
        <v>-4913.4696000000113</v>
      </c>
      <c r="G904" s="5">
        <f t="shared" si="62"/>
        <v>-49.134696000000112</v>
      </c>
      <c r="H904" s="5">
        <f t="shared" si="63"/>
        <v>-1.2825553641346936</v>
      </c>
    </row>
    <row r="905" spans="1:8" x14ac:dyDescent="0.25">
      <c r="A905" t="s">
        <v>907</v>
      </c>
      <c r="B905">
        <v>143809.7206</v>
      </c>
      <c r="C905">
        <v>148953.91089999999</v>
      </c>
      <c r="D905">
        <v>4097</v>
      </c>
      <c r="E905" s="5">
        <f t="shared" si="61"/>
        <v>35.10122543324384</v>
      </c>
      <c r="F905" s="5">
        <f t="shared" si="64"/>
        <v>-5144.1902999999875</v>
      </c>
      <c r="G905" s="5">
        <f t="shared" si="62"/>
        <v>-51.441902999999876</v>
      </c>
      <c r="H905" s="5">
        <f t="shared" si="63"/>
        <v>-1.2555992921649957</v>
      </c>
    </row>
    <row r="906" spans="1:8" x14ac:dyDescent="0.25">
      <c r="A906" t="s">
        <v>908</v>
      </c>
      <c r="B906">
        <v>123252.1511</v>
      </c>
      <c r="C906">
        <v>127533.00930000001</v>
      </c>
      <c r="D906">
        <v>3509</v>
      </c>
      <c r="E906" s="5">
        <f t="shared" si="61"/>
        <v>35.124579965802226</v>
      </c>
      <c r="F906" s="5">
        <f t="shared" si="64"/>
        <v>-4280.8582000000024</v>
      </c>
      <c r="G906" s="5">
        <f t="shared" si="62"/>
        <v>-42.808582000000023</v>
      </c>
      <c r="H906" s="5">
        <f t="shared" si="63"/>
        <v>-1.219965289256199</v>
      </c>
    </row>
    <row r="907" spans="1:8" x14ac:dyDescent="0.25">
      <c r="A907" t="s">
        <v>909</v>
      </c>
      <c r="B907">
        <v>40067.151210000004</v>
      </c>
      <c r="C907">
        <v>34559.084519999997</v>
      </c>
      <c r="D907">
        <v>953</v>
      </c>
      <c r="E907" s="5">
        <f t="shared" si="61"/>
        <v>42.043180703043028</v>
      </c>
      <c r="F907" s="5">
        <f t="shared" si="64"/>
        <v>5508.0666900000069</v>
      </c>
      <c r="G907" s="5">
        <f t="shared" si="62"/>
        <v>55.080666900000068</v>
      </c>
      <c r="H907" s="5">
        <f t="shared" si="63"/>
        <v>5.7797132109129139</v>
      </c>
    </row>
    <row r="908" spans="1:8" x14ac:dyDescent="0.25">
      <c r="A908" t="s">
        <v>910</v>
      </c>
      <c r="B908">
        <v>143752.73680000001</v>
      </c>
      <c r="C908">
        <v>155659.5337</v>
      </c>
      <c r="D908">
        <v>4305</v>
      </c>
      <c r="E908" s="5">
        <f t="shared" si="61"/>
        <v>33.392041068524975</v>
      </c>
      <c r="F908" s="5">
        <f t="shared" si="64"/>
        <v>-11906.796899999987</v>
      </c>
      <c r="G908" s="5">
        <f t="shared" si="62"/>
        <v>-119.06796899999986</v>
      </c>
      <c r="H908" s="5">
        <f t="shared" si="63"/>
        <v>-2.7658064808362339</v>
      </c>
    </row>
    <row r="909" spans="1:8" x14ac:dyDescent="0.25">
      <c r="A909" t="s">
        <v>911</v>
      </c>
      <c r="B909">
        <v>389904.0086</v>
      </c>
      <c r="C909">
        <v>422372.58159999998</v>
      </c>
      <c r="D909">
        <v>11667</v>
      </c>
      <c r="E909" s="5">
        <f t="shared" si="61"/>
        <v>33.419388754607013</v>
      </c>
      <c r="F909" s="5">
        <f t="shared" si="64"/>
        <v>-32468.572999999975</v>
      </c>
      <c r="G909" s="5">
        <f t="shared" si="62"/>
        <v>-324.68572999999975</v>
      </c>
      <c r="H909" s="5">
        <f t="shared" si="63"/>
        <v>-2.7829410302562763</v>
      </c>
    </row>
    <row r="910" spans="1:8" x14ac:dyDescent="0.25">
      <c r="A910" t="s">
        <v>912</v>
      </c>
      <c r="B910">
        <v>461280.7856</v>
      </c>
      <c r="C910">
        <v>498910.32900000003</v>
      </c>
      <c r="D910">
        <v>13793</v>
      </c>
      <c r="E910" s="5">
        <f t="shared" si="61"/>
        <v>33.443107779308342</v>
      </c>
      <c r="F910" s="5">
        <f t="shared" si="64"/>
        <v>-37629.543400000024</v>
      </c>
      <c r="G910" s="5">
        <f t="shared" si="62"/>
        <v>-376.29543400000023</v>
      </c>
      <c r="H910" s="5">
        <f t="shared" si="63"/>
        <v>-2.7281623577176846</v>
      </c>
    </row>
    <row r="911" spans="1:8" x14ac:dyDescent="0.25">
      <c r="A911" t="s">
        <v>913</v>
      </c>
      <c r="B911">
        <v>221578.69680000001</v>
      </c>
      <c r="C911">
        <v>240449.62229999999</v>
      </c>
      <c r="D911">
        <v>6641</v>
      </c>
      <c r="E911" s="5">
        <f t="shared" si="61"/>
        <v>33.36526077397982</v>
      </c>
      <c r="F911" s="5">
        <f t="shared" si="64"/>
        <v>-18870.925499999983</v>
      </c>
      <c r="G911" s="5">
        <f t="shared" si="62"/>
        <v>-188.70925499999984</v>
      </c>
      <c r="H911" s="5">
        <f t="shared" si="63"/>
        <v>-2.8415789037795487</v>
      </c>
    </row>
    <row r="912" spans="1:8" x14ac:dyDescent="0.25">
      <c r="A912" t="s">
        <v>914</v>
      </c>
      <c r="B912">
        <v>253702.223</v>
      </c>
      <c r="C912">
        <v>274426.08029999997</v>
      </c>
      <c r="D912">
        <v>7593</v>
      </c>
      <c r="E912" s="5">
        <f t="shared" si="61"/>
        <v>33.412646253127882</v>
      </c>
      <c r="F912" s="5">
        <f t="shared" si="64"/>
        <v>-20723.857299999974</v>
      </c>
      <c r="G912" s="5">
        <f t="shared" si="62"/>
        <v>-207.23857299999975</v>
      </c>
      <c r="H912" s="5">
        <f t="shared" si="63"/>
        <v>-2.7293371921506617</v>
      </c>
    </row>
    <row r="913" spans="1:8" x14ac:dyDescent="0.25">
      <c r="A913" t="s">
        <v>915</v>
      </c>
      <c r="B913">
        <v>200616.07620000001</v>
      </c>
      <c r="C913">
        <v>217104.5797</v>
      </c>
      <c r="D913">
        <v>6007</v>
      </c>
      <c r="E913" s="5">
        <f t="shared" si="61"/>
        <v>33.397049475611787</v>
      </c>
      <c r="F913" s="5">
        <f t="shared" si="64"/>
        <v>-16488.503499999992</v>
      </c>
      <c r="G913" s="5">
        <f t="shared" si="62"/>
        <v>-164.8850349999999</v>
      </c>
      <c r="H913" s="5">
        <f t="shared" si="63"/>
        <v>-2.7448815548526704</v>
      </c>
    </row>
    <row r="914" spans="1:8" x14ac:dyDescent="0.25">
      <c r="A914" t="s">
        <v>916</v>
      </c>
      <c r="B914">
        <v>211700.8132</v>
      </c>
      <c r="C914">
        <v>229023.8107</v>
      </c>
      <c r="D914">
        <v>6345</v>
      </c>
      <c r="E914" s="5">
        <f t="shared" si="61"/>
        <v>33.364982379826635</v>
      </c>
      <c r="F914" s="5">
        <f t="shared" si="64"/>
        <v>-17322.997499999998</v>
      </c>
      <c r="G914" s="5">
        <f t="shared" si="62"/>
        <v>-173.22997499999997</v>
      </c>
      <c r="H914" s="5">
        <f t="shared" si="63"/>
        <v>-2.7301808510638295</v>
      </c>
    </row>
    <row r="915" spans="1:8" x14ac:dyDescent="0.25">
      <c r="A915" t="s">
        <v>917</v>
      </c>
      <c r="B915">
        <v>282757.71139999997</v>
      </c>
      <c r="C915">
        <v>305894.1801</v>
      </c>
      <c r="D915">
        <v>8482</v>
      </c>
      <c r="E915" s="5">
        <f t="shared" si="61"/>
        <v>33.336207427493513</v>
      </c>
      <c r="F915" s="5">
        <f t="shared" si="64"/>
        <v>-23136.468700000027</v>
      </c>
      <c r="G915" s="5">
        <f t="shared" si="62"/>
        <v>-231.36468700000026</v>
      </c>
      <c r="H915" s="5">
        <f t="shared" si="63"/>
        <v>-2.7277138292855492</v>
      </c>
    </row>
    <row r="916" spans="1:8" x14ac:dyDescent="0.25">
      <c r="A916" t="s">
        <v>918</v>
      </c>
      <c r="B916">
        <v>479010.15669999999</v>
      </c>
      <c r="C916">
        <v>517742.19260000001</v>
      </c>
      <c r="D916">
        <v>14344</v>
      </c>
      <c r="E916" s="5">
        <f t="shared" si="61"/>
        <v>33.39446156581149</v>
      </c>
      <c r="F916" s="5">
        <f t="shared" si="64"/>
        <v>-38732.035900000017</v>
      </c>
      <c r="G916" s="5">
        <f t="shared" si="62"/>
        <v>-387.32035900000017</v>
      </c>
      <c r="H916" s="5">
        <f t="shared" si="63"/>
        <v>-2.7002255925822656</v>
      </c>
    </row>
    <row r="917" spans="1:8" x14ac:dyDescent="0.25">
      <c r="A917" t="s">
        <v>919</v>
      </c>
      <c r="B917">
        <v>454543.28580000001</v>
      </c>
      <c r="C917">
        <v>490487.0246</v>
      </c>
      <c r="D917">
        <v>13609</v>
      </c>
      <c r="E917" s="5">
        <f t="shared" si="61"/>
        <v>33.400197354691748</v>
      </c>
      <c r="F917" s="5">
        <f t="shared" si="64"/>
        <v>-35943.738799999992</v>
      </c>
      <c r="G917" s="5">
        <f t="shared" si="62"/>
        <v>-359.43738799999994</v>
      </c>
      <c r="H917" s="5">
        <f t="shared" si="63"/>
        <v>-2.6411741347637587</v>
      </c>
    </row>
    <row r="918" spans="1:8" x14ac:dyDescent="0.25">
      <c r="A918" t="s">
        <v>920</v>
      </c>
      <c r="B918">
        <v>242185.1807</v>
      </c>
      <c r="C918">
        <v>261534.91200000001</v>
      </c>
      <c r="D918">
        <v>7259</v>
      </c>
      <c r="E918" s="5">
        <f t="shared" si="61"/>
        <v>33.363435831381736</v>
      </c>
      <c r="F918" s="5">
        <f t="shared" si="64"/>
        <v>-19349.731300000014</v>
      </c>
      <c r="G918" s="5">
        <f t="shared" si="62"/>
        <v>-193.49731300000013</v>
      </c>
      <c r="H918" s="5">
        <f t="shared" si="63"/>
        <v>-2.6656194103871078</v>
      </c>
    </row>
    <row r="919" spans="1:8" x14ac:dyDescent="0.25">
      <c r="A919" t="s">
        <v>921</v>
      </c>
      <c r="B919">
        <v>281531.68560000003</v>
      </c>
      <c r="C919">
        <v>304052.47700000001</v>
      </c>
      <c r="D919">
        <v>8431</v>
      </c>
      <c r="E919" s="5">
        <f t="shared" si="61"/>
        <v>33.392442841893015</v>
      </c>
      <c r="F919" s="5">
        <f t="shared" si="64"/>
        <v>-22520.791399999987</v>
      </c>
      <c r="G919" s="5">
        <f t="shared" si="62"/>
        <v>-225.20791399999987</v>
      </c>
      <c r="H919" s="5">
        <f t="shared" si="63"/>
        <v>-2.6711886371723388</v>
      </c>
    </row>
    <row r="920" spans="1:8" x14ac:dyDescent="0.25">
      <c r="A920" t="s">
        <v>922</v>
      </c>
      <c r="B920">
        <v>219363.22010000001</v>
      </c>
      <c r="C920">
        <v>237026.3505</v>
      </c>
      <c r="D920">
        <v>6577</v>
      </c>
      <c r="E920" s="5">
        <f t="shared" si="61"/>
        <v>33.353081967462373</v>
      </c>
      <c r="F920" s="5">
        <f t="shared" si="64"/>
        <v>-17663.130399999995</v>
      </c>
      <c r="G920" s="5">
        <f t="shared" si="62"/>
        <v>-176.63130399999994</v>
      </c>
      <c r="H920" s="5">
        <f t="shared" si="63"/>
        <v>-2.6855907556636756</v>
      </c>
    </row>
    <row r="921" spans="1:8" x14ac:dyDescent="0.25">
      <c r="A921" t="s">
        <v>923</v>
      </c>
      <c r="B921">
        <v>204005.5822</v>
      </c>
      <c r="C921">
        <v>219722.89499999999</v>
      </c>
      <c r="D921">
        <v>6098</v>
      </c>
      <c r="E921" s="5">
        <f t="shared" si="61"/>
        <v>33.454506756313549</v>
      </c>
      <c r="F921" s="5">
        <f t="shared" si="64"/>
        <v>-15717.312799999985</v>
      </c>
      <c r="G921" s="5">
        <f t="shared" si="62"/>
        <v>-157.17312799999985</v>
      </c>
      <c r="H921" s="5">
        <f t="shared" si="63"/>
        <v>-2.5774537225319754</v>
      </c>
    </row>
    <row r="922" spans="1:8" x14ac:dyDescent="0.25">
      <c r="A922" t="s">
        <v>924</v>
      </c>
      <c r="B922">
        <v>69579.068459999995</v>
      </c>
      <c r="C922">
        <v>59598.917800000003</v>
      </c>
      <c r="D922">
        <v>1654</v>
      </c>
      <c r="E922" s="5">
        <f t="shared" si="61"/>
        <v>42.067151426844013</v>
      </c>
      <c r="F922" s="5">
        <f t="shared" si="64"/>
        <v>9980.1506599999921</v>
      </c>
      <c r="G922" s="5">
        <f t="shared" si="62"/>
        <v>99.801506599999925</v>
      </c>
      <c r="H922" s="5">
        <f t="shared" si="63"/>
        <v>6.0339484038694025</v>
      </c>
    </row>
    <row r="923" spans="1:8" x14ac:dyDescent="0.25">
      <c r="A923" t="s">
        <v>925</v>
      </c>
      <c r="B923">
        <v>87184.740030000001</v>
      </c>
      <c r="C923">
        <v>74654.520420000001</v>
      </c>
      <c r="D923">
        <v>2073</v>
      </c>
      <c r="E923" s="5">
        <f t="shared" si="61"/>
        <v>42.057279319826335</v>
      </c>
      <c r="F923" s="5">
        <f t="shared" si="64"/>
        <v>12530.21961</v>
      </c>
      <c r="G923" s="5">
        <f t="shared" si="62"/>
        <v>125.3021961</v>
      </c>
      <c r="H923" s="5">
        <f t="shared" si="63"/>
        <v>6.0444860636758317</v>
      </c>
    </row>
    <row r="924" spans="1:8" x14ac:dyDescent="0.25">
      <c r="A924" t="s">
        <v>926</v>
      </c>
      <c r="B924">
        <v>78700.436050000004</v>
      </c>
      <c r="C924">
        <v>67367.383239999996</v>
      </c>
      <c r="D924">
        <v>1871</v>
      </c>
      <c r="E924" s="5">
        <f t="shared" si="61"/>
        <v>42.063300935328705</v>
      </c>
      <c r="F924" s="5">
        <f t="shared" si="64"/>
        <v>11333.052810000008</v>
      </c>
      <c r="G924" s="5">
        <f t="shared" si="62"/>
        <v>113.33052810000008</v>
      </c>
      <c r="H924" s="5">
        <f t="shared" si="63"/>
        <v>6.0572168947087164</v>
      </c>
    </row>
    <row r="925" spans="1:8" x14ac:dyDescent="0.25">
      <c r="A925" t="s">
        <v>927</v>
      </c>
      <c r="B925">
        <v>39809.559090000002</v>
      </c>
      <c r="C925">
        <v>34091.569660000001</v>
      </c>
      <c r="D925">
        <v>946</v>
      </c>
      <c r="E925" s="5">
        <f t="shared" si="61"/>
        <v>42.081986353065538</v>
      </c>
      <c r="F925" s="5">
        <f t="shared" si="64"/>
        <v>5717.9894300000014</v>
      </c>
      <c r="G925" s="5">
        <f t="shared" si="62"/>
        <v>57.179894300000015</v>
      </c>
      <c r="H925" s="5">
        <f t="shared" si="63"/>
        <v>6.0443862896405935</v>
      </c>
    </row>
    <row r="926" spans="1:8" x14ac:dyDescent="0.25">
      <c r="A926" t="s">
        <v>928</v>
      </c>
      <c r="B926">
        <v>45839.238770000004</v>
      </c>
      <c r="C926">
        <v>39231.195370000001</v>
      </c>
      <c r="D926">
        <v>1090</v>
      </c>
      <c r="E926" s="5">
        <f t="shared" si="61"/>
        <v>42.054347495412848</v>
      </c>
      <c r="F926" s="5">
        <f t="shared" si="64"/>
        <v>6608.0434000000023</v>
      </c>
      <c r="G926" s="5">
        <f t="shared" si="62"/>
        <v>66.080434000000025</v>
      </c>
      <c r="H926" s="5">
        <f t="shared" si="63"/>
        <v>6.0624251376146807</v>
      </c>
    </row>
    <row r="927" spans="1:8" x14ac:dyDescent="0.25">
      <c r="A927" t="s">
        <v>929</v>
      </c>
      <c r="B927">
        <v>36851.763749999998</v>
      </c>
      <c r="C927">
        <v>31574.32547</v>
      </c>
      <c r="D927">
        <v>876</v>
      </c>
      <c r="E927" s="5">
        <f t="shared" si="61"/>
        <v>42.068223458904107</v>
      </c>
      <c r="F927" s="5">
        <f t="shared" si="64"/>
        <v>5277.4382799999985</v>
      </c>
      <c r="G927" s="5">
        <f t="shared" si="62"/>
        <v>52.774382799999984</v>
      </c>
      <c r="H927" s="5">
        <f t="shared" si="63"/>
        <v>6.0244729223744278</v>
      </c>
    </row>
    <row r="928" spans="1:8" x14ac:dyDescent="0.25">
      <c r="A928" t="s">
        <v>930</v>
      </c>
      <c r="B928">
        <v>33225.670469999997</v>
      </c>
      <c r="C928">
        <v>28489.081399999999</v>
      </c>
      <c r="D928">
        <v>790</v>
      </c>
      <c r="E928" s="5">
        <f t="shared" si="61"/>
        <v>42.057810721518983</v>
      </c>
      <c r="F928" s="5">
        <f t="shared" si="64"/>
        <v>4736.5890699999982</v>
      </c>
      <c r="G928" s="5">
        <f t="shared" si="62"/>
        <v>47.36589069999998</v>
      </c>
      <c r="H928" s="5">
        <f t="shared" si="63"/>
        <v>5.9956823670886052</v>
      </c>
    </row>
    <row r="929" spans="1:8" x14ac:dyDescent="0.25">
      <c r="A929" t="s">
        <v>931</v>
      </c>
      <c r="B929">
        <v>30423.391459999999</v>
      </c>
      <c r="C929">
        <v>26053.796719999998</v>
      </c>
      <c r="D929">
        <v>723</v>
      </c>
      <c r="E929" s="5">
        <f t="shared" si="61"/>
        <v>42.079379612724757</v>
      </c>
      <c r="F929" s="5">
        <f t="shared" si="64"/>
        <v>4369.5947400000005</v>
      </c>
      <c r="G929" s="5">
        <f t="shared" si="62"/>
        <v>43.695947400000001</v>
      </c>
      <c r="H929" s="5">
        <f t="shared" si="63"/>
        <v>6.0436995020746895</v>
      </c>
    </row>
    <row r="930" spans="1:8" x14ac:dyDescent="0.25">
      <c r="A930" t="s">
        <v>932</v>
      </c>
      <c r="B930">
        <v>80345.637659999993</v>
      </c>
      <c r="C930">
        <v>68788.094540000006</v>
      </c>
      <c r="D930">
        <v>1910</v>
      </c>
      <c r="E930" s="5">
        <f t="shared" si="61"/>
        <v>42.065778879581146</v>
      </c>
      <c r="F930" s="5">
        <f t="shared" si="64"/>
        <v>11557.543119999988</v>
      </c>
      <c r="G930" s="5">
        <f t="shared" si="62"/>
        <v>115.57543119999987</v>
      </c>
      <c r="H930" s="5">
        <f t="shared" si="63"/>
        <v>6.0510696963350723</v>
      </c>
    </row>
    <row r="931" spans="1:8" x14ac:dyDescent="0.25">
      <c r="A931" t="s">
        <v>933</v>
      </c>
      <c r="B931">
        <v>95297.338629999998</v>
      </c>
      <c r="C931">
        <v>81655.857730000003</v>
      </c>
      <c r="D931">
        <v>2266</v>
      </c>
      <c r="E931" s="5">
        <f t="shared" si="61"/>
        <v>42.055312722859661</v>
      </c>
      <c r="F931" s="5">
        <f t="shared" si="64"/>
        <v>13641.480899999995</v>
      </c>
      <c r="G931" s="5">
        <f t="shared" si="62"/>
        <v>136.41480899999996</v>
      </c>
      <c r="H931" s="5">
        <f t="shared" si="63"/>
        <v>6.0200710061782852</v>
      </c>
    </row>
    <row r="932" spans="1:8" x14ac:dyDescent="0.25">
      <c r="A932" t="s">
        <v>934</v>
      </c>
      <c r="B932">
        <v>45324.054530000001</v>
      </c>
      <c r="C932">
        <v>38809.808900000004</v>
      </c>
      <c r="D932">
        <v>1078</v>
      </c>
      <c r="E932" s="5">
        <f t="shared" si="61"/>
        <v>42.044577486085345</v>
      </c>
      <c r="F932" s="5">
        <f t="shared" si="64"/>
        <v>6514.2456299999976</v>
      </c>
      <c r="G932" s="5">
        <f t="shared" si="62"/>
        <v>65.142456299999978</v>
      </c>
      <c r="H932" s="5">
        <f t="shared" si="63"/>
        <v>6.0428994712430404</v>
      </c>
    </row>
    <row r="933" spans="1:8" x14ac:dyDescent="0.25">
      <c r="A933" t="s">
        <v>935</v>
      </c>
      <c r="B933">
        <v>51604.118410000003</v>
      </c>
      <c r="C933">
        <v>44222.784480000002</v>
      </c>
      <c r="D933">
        <v>1227</v>
      </c>
      <c r="E933" s="5">
        <f t="shared" si="61"/>
        <v>42.057146218418907</v>
      </c>
      <c r="F933" s="5">
        <f t="shared" si="64"/>
        <v>7381.3339300000007</v>
      </c>
      <c r="G933" s="5">
        <f t="shared" si="62"/>
        <v>73.81333930000001</v>
      </c>
      <c r="H933" s="5">
        <f t="shared" si="63"/>
        <v>6.0157570741646298</v>
      </c>
    </row>
    <row r="934" spans="1:8" x14ac:dyDescent="0.25">
      <c r="A934" t="s">
        <v>936</v>
      </c>
      <c r="B934">
        <v>37870.119030000002</v>
      </c>
      <c r="C934">
        <v>32436.795969999999</v>
      </c>
      <c r="D934">
        <v>900</v>
      </c>
      <c r="E934" s="5">
        <f t="shared" si="61"/>
        <v>42.077910033333332</v>
      </c>
      <c r="F934" s="5">
        <f t="shared" si="64"/>
        <v>5433.3230600000024</v>
      </c>
      <c r="G934" s="5">
        <f t="shared" si="62"/>
        <v>54.333230600000022</v>
      </c>
      <c r="H934" s="5">
        <f t="shared" si="63"/>
        <v>6.0370256222222247</v>
      </c>
    </row>
    <row r="935" spans="1:8" x14ac:dyDescent="0.25">
      <c r="A935" t="s">
        <v>937</v>
      </c>
      <c r="B935">
        <v>42723.524460000001</v>
      </c>
      <c r="C935">
        <v>36607.390659999997</v>
      </c>
      <c r="D935">
        <v>1016</v>
      </c>
      <c r="E935" s="5">
        <f t="shared" si="61"/>
        <v>42.050713051181106</v>
      </c>
      <c r="F935" s="5">
        <f t="shared" si="64"/>
        <v>6116.1338000000032</v>
      </c>
      <c r="G935" s="5">
        <f t="shared" si="62"/>
        <v>61.161338000000029</v>
      </c>
      <c r="H935" s="5">
        <f t="shared" si="63"/>
        <v>6.0198167322834681</v>
      </c>
    </row>
    <row r="936" spans="1:8" x14ac:dyDescent="0.25">
      <c r="A936" t="s">
        <v>938</v>
      </c>
      <c r="B936">
        <v>35169.915809999999</v>
      </c>
      <c r="C936">
        <v>30133.318640000001</v>
      </c>
      <c r="D936">
        <v>836</v>
      </c>
      <c r="E936" s="5">
        <f t="shared" si="61"/>
        <v>42.069277284688994</v>
      </c>
      <c r="F936" s="5">
        <f t="shared" si="64"/>
        <v>5036.5971699999973</v>
      </c>
      <c r="G936" s="5">
        <f t="shared" si="62"/>
        <v>50.365971699999974</v>
      </c>
      <c r="H936" s="5">
        <f t="shared" si="63"/>
        <v>6.0246377631578918</v>
      </c>
    </row>
    <row r="937" spans="1:8" x14ac:dyDescent="0.25">
      <c r="A937" t="s">
        <v>939</v>
      </c>
      <c r="B937">
        <v>61148.205009999998</v>
      </c>
      <c r="C937">
        <v>52384.447480000003</v>
      </c>
      <c r="D937">
        <v>1454</v>
      </c>
      <c r="E937" s="5">
        <f t="shared" si="61"/>
        <v>42.055161629986245</v>
      </c>
      <c r="F937" s="5">
        <f t="shared" si="64"/>
        <v>8763.7575299999953</v>
      </c>
      <c r="G937" s="5">
        <f t="shared" si="62"/>
        <v>87.637575299999952</v>
      </c>
      <c r="H937" s="5">
        <f t="shared" si="63"/>
        <v>6.027343555708387</v>
      </c>
    </row>
    <row r="938" spans="1:8" x14ac:dyDescent="0.25">
      <c r="A938" t="s">
        <v>940</v>
      </c>
      <c r="B938">
        <v>77171.701799999995</v>
      </c>
      <c r="C938">
        <v>66113.832039999994</v>
      </c>
      <c r="D938">
        <v>1835</v>
      </c>
      <c r="E938" s="5">
        <f t="shared" si="61"/>
        <v>42.055423324250675</v>
      </c>
      <c r="F938" s="5">
        <f t="shared" si="64"/>
        <v>11057.869760000001</v>
      </c>
      <c r="G938" s="5">
        <f t="shared" si="62"/>
        <v>110.57869760000001</v>
      </c>
      <c r="H938" s="5">
        <f t="shared" si="63"/>
        <v>6.0260870626703005</v>
      </c>
    </row>
    <row r="939" spans="1:8" x14ac:dyDescent="0.25">
      <c r="A939" t="s">
        <v>941</v>
      </c>
      <c r="B939">
        <v>40881.354910000002</v>
      </c>
      <c r="C939">
        <v>35019.112639999999</v>
      </c>
      <c r="D939">
        <v>972</v>
      </c>
      <c r="E939" s="5">
        <f t="shared" si="61"/>
        <v>42.059007109053503</v>
      </c>
      <c r="F939" s="5">
        <f t="shared" si="64"/>
        <v>5862.2422700000025</v>
      </c>
      <c r="G939" s="5">
        <f t="shared" si="62"/>
        <v>58.622422700000023</v>
      </c>
      <c r="H939" s="5">
        <f t="shared" si="63"/>
        <v>6.0311134465020597</v>
      </c>
    </row>
    <row r="940" spans="1:8" x14ac:dyDescent="0.25">
      <c r="A940" t="s">
        <v>942</v>
      </c>
      <c r="B940">
        <v>43085.595009999997</v>
      </c>
      <c r="C940">
        <v>36887.366170000001</v>
      </c>
      <c r="D940">
        <v>1024</v>
      </c>
      <c r="E940" s="5">
        <f t="shared" si="61"/>
        <v>42.075776376953122</v>
      </c>
      <c r="F940" s="5">
        <f t="shared" si="64"/>
        <v>6198.2288399999961</v>
      </c>
      <c r="G940" s="5">
        <f t="shared" si="62"/>
        <v>61.982288399999959</v>
      </c>
      <c r="H940" s="5">
        <f t="shared" si="63"/>
        <v>6.0529578515624962</v>
      </c>
    </row>
    <row r="941" spans="1:8" x14ac:dyDescent="0.25">
      <c r="A941" t="s">
        <v>943</v>
      </c>
      <c r="B941">
        <v>43894.993430000002</v>
      </c>
      <c r="C941">
        <v>37604.65842</v>
      </c>
      <c r="D941">
        <v>1044</v>
      </c>
      <c r="E941" s="5">
        <f t="shared" si="61"/>
        <v>42.045012863984674</v>
      </c>
      <c r="F941" s="5">
        <f t="shared" si="64"/>
        <v>6290.3350100000025</v>
      </c>
      <c r="G941" s="5">
        <f t="shared" si="62"/>
        <v>62.903350100000026</v>
      </c>
      <c r="H941" s="5">
        <f t="shared" si="63"/>
        <v>6.0252251053639867</v>
      </c>
    </row>
    <row r="942" spans="1:8" x14ac:dyDescent="0.25">
      <c r="A942" t="s">
        <v>944</v>
      </c>
      <c r="B942">
        <v>67780.728889999999</v>
      </c>
      <c r="C942">
        <v>58196.145989999997</v>
      </c>
      <c r="D942">
        <v>1611</v>
      </c>
      <c r="E942" s="5">
        <f t="shared" si="61"/>
        <v>42.073698876474239</v>
      </c>
      <c r="F942" s="5">
        <f t="shared" si="64"/>
        <v>9584.5829000000012</v>
      </c>
      <c r="G942" s="5">
        <f t="shared" si="62"/>
        <v>95.845829000000009</v>
      </c>
      <c r="H942" s="5">
        <f t="shared" si="63"/>
        <v>5.9494617628801993</v>
      </c>
    </row>
    <row r="943" spans="1:8" x14ac:dyDescent="0.25">
      <c r="A943" t="s">
        <v>945</v>
      </c>
      <c r="B943">
        <v>51907.943149999999</v>
      </c>
      <c r="C943">
        <v>44544.630740000001</v>
      </c>
      <c r="D943">
        <v>1234</v>
      </c>
      <c r="E943" s="5">
        <f t="shared" si="61"/>
        <v>42.064783752025932</v>
      </c>
      <c r="F943" s="5">
        <f t="shared" si="64"/>
        <v>7363.3124099999986</v>
      </c>
      <c r="G943" s="5">
        <f t="shared" si="62"/>
        <v>73.633124099999989</v>
      </c>
      <c r="H943" s="5">
        <f t="shared" si="63"/>
        <v>5.9670278849270657</v>
      </c>
    </row>
    <row r="944" spans="1:8" x14ac:dyDescent="0.25">
      <c r="A944" t="s">
        <v>946</v>
      </c>
      <c r="B944">
        <v>93508.633889999997</v>
      </c>
      <c r="C944">
        <v>80346.694130000003</v>
      </c>
      <c r="D944">
        <v>2223</v>
      </c>
      <c r="E944" s="5">
        <f t="shared" si="61"/>
        <v>42.064162793522264</v>
      </c>
      <c r="F944" s="5">
        <f t="shared" si="64"/>
        <v>13161.939759999994</v>
      </c>
      <c r="G944" s="5">
        <f t="shared" si="62"/>
        <v>131.61939759999993</v>
      </c>
      <c r="H944" s="5">
        <f t="shared" si="63"/>
        <v>5.9208006117858725</v>
      </c>
    </row>
    <row r="945" spans="1:8" x14ac:dyDescent="0.25">
      <c r="A945" t="s">
        <v>947</v>
      </c>
      <c r="B945">
        <v>95343.595509999999</v>
      </c>
      <c r="C945">
        <v>81874.288860000001</v>
      </c>
      <c r="D945">
        <v>2267</v>
      </c>
      <c r="E945" s="5">
        <f t="shared" si="61"/>
        <v>42.05716608292898</v>
      </c>
      <c r="F945" s="5">
        <f t="shared" si="64"/>
        <v>13469.306649999999</v>
      </c>
      <c r="G945" s="5">
        <f t="shared" si="62"/>
        <v>134.69306649999999</v>
      </c>
      <c r="H945" s="5">
        <f t="shared" si="63"/>
        <v>5.9414674239082483</v>
      </c>
    </row>
    <row r="946" spans="1:8" x14ac:dyDescent="0.25">
      <c r="A946" t="s">
        <v>948</v>
      </c>
      <c r="B946">
        <v>59514.992330000001</v>
      </c>
      <c r="C946">
        <v>51145.403339999997</v>
      </c>
      <c r="D946">
        <v>1415</v>
      </c>
      <c r="E946" s="5">
        <f t="shared" si="61"/>
        <v>42.06006525088339</v>
      </c>
      <c r="F946" s="5">
        <f t="shared" si="64"/>
        <v>8369.5889900000038</v>
      </c>
      <c r="G946" s="5">
        <f t="shared" si="62"/>
        <v>83.69588990000004</v>
      </c>
      <c r="H946" s="5">
        <f t="shared" si="63"/>
        <v>5.9149038798586604</v>
      </c>
    </row>
    <row r="947" spans="1:8" x14ac:dyDescent="0.25">
      <c r="A947" t="s">
        <v>949</v>
      </c>
      <c r="B947">
        <v>65133.966200000003</v>
      </c>
      <c r="C947">
        <v>55946.056559999997</v>
      </c>
      <c r="D947">
        <v>1548</v>
      </c>
      <c r="E947" s="5">
        <f t="shared" si="61"/>
        <v>42.076205555555561</v>
      </c>
      <c r="F947" s="5">
        <f t="shared" si="64"/>
        <v>9187.9096400000053</v>
      </c>
      <c r="G947" s="5">
        <f t="shared" si="62"/>
        <v>91.879096400000051</v>
      </c>
      <c r="H947" s="5">
        <f t="shared" si="63"/>
        <v>5.9353421447028456</v>
      </c>
    </row>
    <row r="948" spans="1:8" x14ac:dyDescent="0.25">
      <c r="A948" t="s">
        <v>950</v>
      </c>
      <c r="B948">
        <v>70641.253719999993</v>
      </c>
      <c r="C948">
        <v>60629.553</v>
      </c>
      <c r="D948">
        <v>1679</v>
      </c>
      <c r="E948" s="5">
        <f t="shared" si="61"/>
        <v>42.073409005360332</v>
      </c>
      <c r="F948" s="5">
        <f t="shared" si="64"/>
        <v>10011.700719999993</v>
      </c>
      <c r="G948" s="5">
        <f t="shared" si="62"/>
        <v>100.11700719999993</v>
      </c>
      <c r="H948" s="5">
        <f t="shared" si="63"/>
        <v>5.9628950089338852</v>
      </c>
    </row>
    <row r="949" spans="1:8" x14ac:dyDescent="0.25">
      <c r="A949" t="s">
        <v>951</v>
      </c>
      <c r="B949">
        <v>48442.171479999997</v>
      </c>
      <c r="C949">
        <v>41610.783940000001</v>
      </c>
      <c r="D949">
        <v>1152</v>
      </c>
      <c r="E949" s="5">
        <f t="shared" si="61"/>
        <v>42.050496076388889</v>
      </c>
      <c r="F949" s="5">
        <f t="shared" si="64"/>
        <v>6831.3875399999961</v>
      </c>
      <c r="G949" s="5">
        <f t="shared" si="62"/>
        <v>68.313875399999958</v>
      </c>
      <c r="H949" s="5">
        <f t="shared" si="63"/>
        <v>5.9300239062499962</v>
      </c>
    </row>
    <row r="950" spans="1:8" x14ac:dyDescent="0.25">
      <c r="A950" t="s">
        <v>952</v>
      </c>
      <c r="B950">
        <v>46291.371919999998</v>
      </c>
      <c r="C950">
        <v>39783.360670000002</v>
      </c>
      <c r="D950">
        <v>1101</v>
      </c>
      <c r="E950" s="5">
        <f t="shared" si="61"/>
        <v>42.044842797456859</v>
      </c>
      <c r="F950" s="5">
        <f t="shared" si="64"/>
        <v>6508.0112499999959</v>
      </c>
      <c r="G950" s="5">
        <f t="shared" si="62"/>
        <v>65.080112499999956</v>
      </c>
      <c r="H950" s="5">
        <f t="shared" si="63"/>
        <v>5.9110002270662996</v>
      </c>
    </row>
    <row r="951" spans="1:8" x14ac:dyDescent="0.25">
      <c r="A951" t="s">
        <v>953</v>
      </c>
      <c r="B951">
        <v>73453.143290000007</v>
      </c>
      <c r="C951">
        <v>63386.492590000002</v>
      </c>
      <c r="D951">
        <v>1746</v>
      </c>
      <c r="E951" s="5">
        <f t="shared" si="61"/>
        <v>42.069383327605962</v>
      </c>
      <c r="F951" s="5">
        <f t="shared" si="64"/>
        <v>10066.650700000006</v>
      </c>
      <c r="G951" s="5">
        <f t="shared" si="62"/>
        <v>100.66650700000005</v>
      </c>
      <c r="H951" s="5">
        <f t="shared" si="63"/>
        <v>5.7655502290950773</v>
      </c>
    </row>
    <row r="952" spans="1:8" x14ac:dyDescent="0.25">
      <c r="A952" t="s">
        <v>954</v>
      </c>
      <c r="B952">
        <v>71508.897949999999</v>
      </c>
      <c r="C952">
        <v>61500.574650000002</v>
      </c>
      <c r="D952">
        <v>1700</v>
      </c>
      <c r="E952" s="5">
        <f t="shared" si="61"/>
        <v>42.064057617647059</v>
      </c>
      <c r="F952" s="5">
        <f t="shared" si="64"/>
        <v>10008.323299999996</v>
      </c>
      <c r="G952" s="5">
        <f t="shared" si="62"/>
        <v>100.08323299999996</v>
      </c>
      <c r="H952" s="5">
        <f t="shared" si="63"/>
        <v>5.887248999999998</v>
      </c>
    </row>
    <row r="953" spans="1:8" x14ac:dyDescent="0.25">
      <c r="A953" t="s">
        <v>955</v>
      </c>
      <c r="B953">
        <v>30066.126179999999</v>
      </c>
      <c r="C953">
        <v>25872.48835</v>
      </c>
      <c r="D953">
        <v>715</v>
      </c>
      <c r="E953" s="5">
        <f t="shared" si="61"/>
        <v>42.050526125874121</v>
      </c>
      <c r="F953" s="5">
        <f t="shared" si="64"/>
        <v>4193.6378299999997</v>
      </c>
      <c r="G953" s="5">
        <f t="shared" si="62"/>
        <v>41.936378299999994</v>
      </c>
      <c r="H953" s="5">
        <f t="shared" si="63"/>
        <v>5.8652277342657335</v>
      </c>
    </row>
    <row r="954" spans="1:8" x14ac:dyDescent="0.25">
      <c r="A954" t="s">
        <v>956</v>
      </c>
      <c r="B954">
        <v>37726.615899999997</v>
      </c>
      <c r="C954">
        <v>32490.136020000002</v>
      </c>
      <c r="D954">
        <v>897</v>
      </c>
      <c r="E954" s="5">
        <f t="shared" si="61"/>
        <v>42.05865763656633</v>
      </c>
      <c r="F954" s="5">
        <f t="shared" si="64"/>
        <v>5236.4798799999953</v>
      </c>
      <c r="G954" s="5">
        <f t="shared" si="62"/>
        <v>52.364798799999953</v>
      </c>
      <c r="H954" s="5">
        <f t="shared" si="63"/>
        <v>5.8377702118171628</v>
      </c>
    </row>
    <row r="955" spans="1:8" x14ac:dyDescent="0.25">
      <c r="A955" t="s">
        <v>957</v>
      </c>
      <c r="B955">
        <v>30831.694630000002</v>
      </c>
      <c r="C955">
        <v>26577.079450000001</v>
      </c>
      <c r="D955">
        <v>733</v>
      </c>
      <c r="E955" s="5">
        <f t="shared" si="61"/>
        <v>42.062339195088676</v>
      </c>
      <c r="F955" s="5">
        <f t="shared" si="64"/>
        <v>4254.6151800000007</v>
      </c>
      <c r="G955" s="5">
        <f t="shared" si="62"/>
        <v>42.546151800000004</v>
      </c>
      <c r="H955" s="5">
        <f t="shared" si="63"/>
        <v>5.8043863301500691</v>
      </c>
    </row>
    <row r="956" spans="1:8" x14ac:dyDescent="0.25">
      <c r="A956" t="s">
        <v>958</v>
      </c>
      <c r="B956">
        <v>146811.45509999999</v>
      </c>
      <c r="C956">
        <v>155135.62909999999</v>
      </c>
      <c r="D956">
        <v>4282</v>
      </c>
      <c r="E956" s="5">
        <f t="shared" si="61"/>
        <v>34.285720481083601</v>
      </c>
      <c r="F956" s="5">
        <f t="shared" si="64"/>
        <v>-8324.1739999999991</v>
      </c>
      <c r="G956" s="5">
        <f t="shared" si="62"/>
        <v>-83.241739999999993</v>
      </c>
      <c r="H956" s="5">
        <f t="shared" si="63"/>
        <v>-1.943992059785147</v>
      </c>
    </row>
    <row r="957" spans="1:8" x14ac:dyDescent="0.25">
      <c r="A957" t="s">
        <v>959</v>
      </c>
      <c r="B957">
        <v>99867.329620000004</v>
      </c>
      <c r="C957">
        <v>103826.70140000001</v>
      </c>
      <c r="D957">
        <v>2867</v>
      </c>
      <c r="E957" s="5">
        <f t="shared" si="61"/>
        <v>34.833390170910363</v>
      </c>
      <c r="F957" s="5">
        <f t="shared" si="64"/>
        <v>-3959.3717800000013</v>
      </c>
      <c r="G957" s="5">
        <f t="shared" si="62"/>
        <v>-39.593717800000015</v>
      </c>
      <c r="H957" s="5">
        <f t="shared" si="63"/>
        <v>-1.381015619114057</v>
      </c>
    </row>
    <row r="958" spans="1:8" x14ac:dyDescent="0.25">
      <c r="A958" t="s">
        <v>960</v>
      </c>
      <c r="B958">
        <v>210664.8628</v>
      </c>
      <c r="C958">
        <v>220379.27669999999</v>
      </c>
      <c r="D958">
        <v>6082</v>
      </c>
      <c r="E958" s="5">
        <f t="shared" si="61"/>
        <v>34.637432226241366</v>
      </c>
      <c r="F958" s="5">
        <f t="shared" si="64"/>
        <v>-9714.413899999985</v>
      </c>
      <c r="G958" s="5">
        <f t="shared" si="62"/>
        <v>-97.144138999999853</v>
      </c>
      <c r="H958" s="5">
        <f t="shared" si="63"/>
        <v>-1.5972400361723094</v>
      </c>
    </row>
    <row r="959" spans="1:8" x14ac:dyDescent="0.25">
      <c r="A959" t="s">
        <v>961</v>
      </c>
      <c r="B959">
        <v>266271.03909999999</v>
      </c>
      <c r="C959">
        <v>281658.41830000002</v>
      </c>
      <c r="D959">
        <v>7771</v>
      </c>
      <c r="E959" s="5">
        <f t="shared" si="61"/>
        <v>34.26470712906962</v>
      </c>
      <c r="F959" s="5">
        <f t="shared" si="64"/>
        <v>-15387.379200000025</v>
      </c>
      <c r="G959" s="5">
        <f t="shared" si="62"/>
        <v>-153.87379200000024</v>
      </c>
      <c r="H959" s="5">
        <f t="shared" si="63"/>
        <v>-1.9801028439068362</v>
      </c>
    </row>
    <row r="960" spans="1:8" x14ac:dyDescent="0.25">
      <c r="A960" t="s">
        <v>962</v>
      </c>
      <c r="B960">
        <v>123084.03909999999</v>
      </c>
      <c r="C960">
        <v>129601.5272</v>
      </c>
      <c r="D960">
        <v>3576</v>
      </c>
      <c r="E960" s="5">
        <f t="shared" si="61"/>
        <v>34.419474021252796</v>
      </c>
      <c r="F960" s="5">
        <f t="shared" si="64"/>
        <v>-6517.4881000000023</v>
      </c>
      <c r="G960" s="5">
        <f t="shared" si="62"/>
        <v>-65.174881000000028</v>
      </c>
      <c r="H960" s="5">
        <f t="shared" si="63"/>
        <v>-1.8225637863534683</v>
      </c>
    </row>
    <row r="961" spans="1:8" x14ac:dyDescent="0.25">
      <c r="A961" t="s">
        <v>963</v>
      </c>
      <c r="B961">
        <v>162727.52480000001</v>
      </c>
      <c r="C961">
        <v>168580.17060000001</v>
      </c>
      <c r="D961">
        <v>4649</v>
      </c>
      <c r="E961" s="5">
        <f t="shared" si="61"/>
        <v>35.002694084749415</v>
      </c>
      <c r="F961" s="5">
        <f t="shared" si="64"/>
        <v>-5852.6457999999984</v>
      </c>
      <c r="G961" s="5">
        <f t="shared" si="62"/>
        <v>-58.526457999999984</v>
      </c>
      <c r="H961" s="5">
        <f t="shared" si="63"/>
        <v>-1.2589042374704233</v>
      </c>
    </row>
    <row r="962" spans="1:8" x14ac:dyDescent="0.25">
      <c r="A962" t="s">
        <v>964</v>
      </c>
      <c r="B962">
        <v>114708.946</v>
      </c>
      <c r="C962">
        <v>119758.06170000001</v>
      </c>
      <c r="D962">
        <v>3302</v>
      </c>
      <c r="E962" s="5">
        <f t="shared" si="61"/>
        <v>34.739232586311324</v>
      </c>
      <c r="F962" s="5">
        <f t="shared" si="64"/>
        <v>-5049.1157000000094</v>
      </c>
      <c r="G962" s="5">
        <f t="shared" si="62"/>
        <v>-50.491157000000094</v>
      </c>
      <c r="H962" s="5">
        <f t="shared" si="63"/>
        <v>-1.5291083282858902</v>
      </c>
    </row>
    <row r="963" spans="1:8" x14ac:dyDescent="0.25">
      <c r="A963" t="s">
        <v>965</v>
      </c>
      <c r="B963">
        <v>122318.9075</v>
      </c>
      <c r="C963">
        <v>128298.3435</v>
      </c>
      <c r="D963">
        <v>3536</v>
      </c>
      <c r="E963" s="5">
        <f t="shared" ref="E963:E1026" si="65">B963/D963</f>
        <v>34.592451216063345</v>
      </c>
      <c r="F963" s="5">
        <f t="shared" si="64"/>
        <v>-5979.4360000000015</v>
      </c>
      <c r="G963" s="5">
        <f t="shared" ref="G963:G1026" si="66">F963/100</f>
        <v>-59.794360000000012</v>
      </c>
      <c r="H963" s="5">
        <f t="shared" ref="H963:H1026" si="67">F963/D963</f>
        <v>-1.6910169683257923</v>
      </c>
    </row>
    <row r="964" spans="1:8" x14ac:dyDescent="0.25">
      <c r="A964" t="s">
        <v>966</v>
      </c>
      <c r="B964">
        <v>112010.34450000001</v>
      </c>
      <c r="C964">
        <v>117374.19160000001</v>
      </c>
      <c r="D964">
        <v>3236</v>
      </c>
      <c r="E964" s="5">
        <f t="shared" si="65"/>
        <v>34.613827101359703</v>
      </c>
      <c r="F964" s="5">
        <f t="shared" ref="F964:F983" si="68" xml:space="preserve"> B964-C964</f>
        <v>-5363.847099999999</v>
      </c>
      <c r="G964" s="5">
        <f t="shared" si="66"/>
        <v>-53.638470999999988</v>
      </c>
      <c r="H964" s="5">
        <f t="shared" si="67"/>
        <v>-1.6575547280593321</v>
      </c>
    </row>
    <row r="965" spans="1:8" x14ac:dyDescent="0.25">
      <c r="A965" t="s">
        <v>967</v>
      </c>
      <c r="B965">
        <v>229861.47029999999</v>
      </c>
      <c r="C965">
        <v>241090.1336</v>
      </c>
      <c r="D965">
        <v>6646</v>
      </c>
      <c r="E965" s="5">
        <f t="shared" si="65"/>
        <v>34.586438504363528</v>
      </c>
      <c r="F965" s="5">
        <f t="shared" si="68"/>
        <v>-11228.663300000015</v>
      </c>
      <c r="G965" s="5">
        <f t="shared" si="66"/>
        <v>-112.28663300000015</v>
      </c>
      <c r="H965" s="5">
        <f t="shared" si="67"/>
        <v>-1.6895370598856476</v>
      </c>
    </row>
    <row r="966" spans="1:8" x14ac:dyDescent="0.25">
      <c r="A966" t="s">
        <v>968</v>
      </c>
      <c r="B966">
        <v>249981.24969999999</v>
      </c>
      <c r="C966">
        <v>262145.17729999998</v>
      </c>
      <c r="D966">
        <v>7220</v>
      </c>
      <c r="E966" s="5">
        <f t="shared" si="65"/>
        <v>34.623441786703602</v>
      </c>
      <c r="F966" s="5">
        <f t="shared" si="68"/>
        <v>-12163.927599999995</v>
      </c>
      <c r="G966" s="5">
        <f t="shared" si="66"/>
        <v>-121.63927599999995</v>
      </c>
      <c r="H966" s="5">
        <f t="shared" si="67"/>
        <v>-1.6847545152354564</v>
      </c>
    </row>
    <row r="967" spans="1:8" x14ac:dyDescent="0.25">
      <c r="A967" t="s">
        <v>969</v>
      </c>
      <c r="B967">
        <v>136480.24909999999</v>
      </c>
      <c r="C967">
        <v>143734.22719999999</v>
      </c>
      <c r="D967">
        <v>3958</v>
      </c>
      <c r="E967" s="5">
        <f t="shared" si="65"/>
        <v>34.482124583122783</v>
      </c>
      <c r="F967" s="5">
        <f t="shared" si="68"/>
        <v>-7253.9781000000075</v>
      </c>
      <c r="G967" s="5">
        <f t="shared" si="66"/>
        <v>-72.539781000000076</v>
      </c>
      <c r="H967" s="5">
        <f t="shared" si="67"/>
        <v>-1.8327382769075309</v>
      </c>
    </row>
    <row r="968" spans="1:8" x14ac:dyDescent="0.25">
      <c r="A968" t="s">
        <v>970</v>
      </c>
      <c r="B968">
        <v>127369.8026</v>
      </c>
      <c r="C968">
        <v>133350.16140000001</v>
      </c>
      <c r="D968">
        <v>3672</v>
      </c>
      <c r="E968" s="5">
        <f t="shared" si="65"/>
        <v>34.686765413943355</v>
      </c>
      <c r="F968" s="5">
        <f t="shared" si="68"/>
        <v>-5980.3588000000163</v>
      </c>
      <c r="G968" s="5">
        <f t="shared" si="66"/>
        <v>-59.803588000000161</v>
      </c>
      <c r="H968" s="5">
        <f t="shared" si="67"/>
        <v>-1.6286380174291983</v>
      </c>
    </row>
    <row r="969" spans="1:8" x14ac:dyDescent="0.25">
      <c r="A969" t="s">
        <v>971</v>
      </c>
      <c r="B969">
        <v>43537.728159999999</v>
      </c>
      <c r="C969">
        <v>37649.38753</v>
      </c>
      <c r="D969">
        <v>1035</v>
      </c>
      <c r="E969" s="5">
        <f t="shared" si="65"/>
        <v>42.065437835748789</v>
      </c>
      <c r="F969" s="5">
        <f t="shared" si="68"/>
        <v>5888.3406299999988</v>
      </c>
      <c r="G969" s="5">
        <f t="shared" si="66"/>
        <v>58.88340629999999</v>
      </c>
      <c r="H969" s="5">
        <f t="shared" si="67"/>
        <v>5.6892179999999986</v>
      </c>
    </row>
    <row r="970" spans="1:8" x14ac:dyDescent="0.25">
      <c r="A970" t="s">
        <v>972</v>
      </c>
      <c r="B970">
        <v>120407.4133</v>
      </c>
      <c r="C970">
        <v>127699.41590000001</v>
      </c>
      <c r="D970">
        <v>3549</v>
      </c>
      <c r="E970" s="5">
        <f t="shared" si="65"/>
        <v>33.927138151591997</v>
      </c>
      <c r="F970" s="5">
        <f t="shared" si="68"/>
        <v>-7292.0026000000071</v>
      </c>
      <c r="G970" s="5">
        <f t="shared" si="66"/>
        <v>-72.920026000000064</v>
      </c>
      <c r="H970" s="5">
        <f t="shared" si="67"/>
        <v>-2.0546640180332507</v>
      </c>
    </row>
    <row r="971" spans="1:8" x14ac:dyDescent="0.25">
      <c r="A971" t="s">
        <v>973</v>
      </c>
      <c r="B971">
        <v>226375.54310000001</v>
      </c>
      <c r="C971">
        <v>240429.68549999999</v>
      </c>
      <c r="D971">
        <v>6647</v>
      </c>
      <c r="E971" s="5">
        <f t="shared" si="65"/>
        <v>34.056799022115243</v>
      </c>
      <c r="F971" s="5">
        <f t="shared" si="68"/>
        <v>-14054.142399999982</v>
      </c>
      <c r="G971" s="5">
        <f t="shared" si="66"/>
        <v>-140.54142399999984</v>
      </c>
      <c r="H971" s="5">
        <f t="shared" si="67"/>
        <v>-2.1143587182187424</v>
      </c>
    </row>
    <row r="972" spans="1:8" x14ac:dyDescent="0.25">
      <c r="A972" t="s">
        <v>974</v>
      </c>
      <c r="B972">
        <v>337900.17820000002</v>
      </c>
      <c r="C972">
        <v>358772.25040000002</v>
      </c>
      <c r="D972">
        <v>9908</v>
      </c>
      <c r="E972" s="5">
        <f t="shared" si="65"/>
        <v>34.103772527250712</v>
      </c>
      <c r="F972" s="5">
        <f t="shared" si="68"/>
        <v>-20872.072199999995</v>
      </c>
      <c r="G972" s="5">
        <f t="shared" si="66"/>
        <v>-208.72072199999994</v>
      </c>
      <c r="H972" s="5">
        <f t="shared" si="67"/>
        <v>-2.106587828017763</v>
      </c>
    </row>
    <row r="973" spans="1:8" x14ac:dyDescent="0.25">
      <c r="A973" t="s">
        <v>975</v>
      </c>
      <c r="B973">
        <v>355069.54009999998</v>
      </c>
      <c r="C973">
        <v>376755.56449999998</v>
      </c>
      <c r="D973">
        <v>10393</v>
      </c>
      <c r="E973" s="5">
        <f t="shared" si="65"/>
        <v>34.164297132685462</v>
      </c>
      <c r="F973" s="5">
        <f t="shared" si="68"/>
        <v>-21686.024399999995</v>
      </c>
      <c r="G973" s="5">
        <f t="shared" si="66"/>
        <v>-216.86024399999994</v>
      </c>
      <c r="H973" s="5">
        <f t="shared" si="67"/>
        <v>-2.0865990955450777</v>
      </c>
    </row>
    <row r="974" spans="1:8" x14ac:dyDescent="0.25">
      <c r="A974" t="s">
        <v>976</v>
      </c>
      <c r="B974">
        <v>153893.68520000001</v>
      </c>
      <c r="C974">
        <v>163401.32920000001</v>
      </c>
      <c r="D974">
        <v>4507</v>
      </c>
      <c r="E974" s="5">
        <f t="shared" si="65"/>
        <v>34.145481517639233</v>
      </c>
      <c r="F974" s="5">
        <f t="shared" si="68"/>
        <v>-9507.6440000000002</v>
      </c>
      <c r="G974" s="5">
        <f t="shared" si="66"/>
        <v>-95.076440000000005</v>
      </c>
      <c r="H974" s="5">
        <f t="shared" si="67"/>
        <v>-2.1095282893277125</v>
      </c>
    </row>
    <row r="975" spans="1:8" x14ac:dyDescent="0.25">
      <c r="A975" t="s">
        <v>977</v>
      </c>
      <c r="B975">
        <v>159625.7409</v>
      </c>
      <c r="C975">
        <v>169479.1061</v>
      </c>
      <c r="D975">
        <v>4672</v>
      </c>
      <c r="E975" s="5">
        <f t="shared" si="65"/>
        <v>34.166468514554794</v>
      </c>
      <c r="F975" s="5">
        <f t="shared" si="68"/>
        <v>-9853.3652000000002</v>
      </c>
      <c r="G975" s="5">
        <f t="shared" si="66"/>
        <v>-98.533652000000004</v>
      </c>
      <c r="H975" s="5">
        <f t="shared" si="67"/>
        <v>-2.1090250856164383</v>
      </c>
    </row>
    <row r="976" spans="1:8" x14ac:dyDescent="0.25">
      <c r="A976" t="s">
        <v>978</v>
      </c>
      <c r="B976">
        <v>133961.967</v>
      </c>
      <c r="C976">
        <v>142299.9178</v>
      </c>
      <c r="D976">
        <v>3924</v>
      </c>
      <c r="E976" s="5">
        <f t="shared" si="65"/>
        <v>34.139135321100916</v>
      </c>
      <c r="F976" s="5">
        <f t="shared" si="68"/>
        <v>-8337.9507999999914</v>
      </c>
      <c r="G976" s="5">
        <f t="shared" si="66"/>
        <v>-83.379507999999916</v>
      </c>
      <c r="H976" s="5">
        <f t="shared" si="67"/>
        <v>-2.1248600407747174</v>
      </c>
    </row>
    <row r="977" spans="1:8" x14ac:dyDescent="0.25">
      <c r="A977" t="s">
        <v>979</v>
      </c>
      <c r="B977">
        <v>236305.15640000001</v>
      </c>
      <c r="C977">
        <v>250572.4534</v>
      </c>
      <c r="D977">
        <v>6918</v>
      </c>
      <c r="E977" s="5">
        <f t="shared" si="65"/>
        <v>34.158016247470371</v>
      </c>
      <c r="F977" s="5">
        <f t="shared" si="68"/>
        <v>-14267.296999999991</v>
      </c>
      <c r="G977" s="5">
        <f t="shared" si="66"/>
        <v>-142.67296999999991</v>
      </c>
      <c r="H977" s="5">
        <f t="shared" si="67"/>
        <v>-2.06234417461694</v>
      </c>
    </row>
    <row r="978" spans="1:8" x14ac:dyDescent="0.25">
      <c r="A978" t="s">
        <v>980</v>
      </c>
      <c r="B978">
        <v>313491.73509999999</v>
      </c>
      <c r="C978">
        <v>333030.87569999998</v>
      </c>
      <c r="D978">
        <v>9183</v>
      </c>
      <c r="E978" s="5">
        <f t="shared" si="65"/>
        <v>34.138270184035719</v>
      </c>
      <c r="F978" s="5">
        <f t="shared" si="68"/>
        <v>-19539.140599999984</v>
      </c>
      <c r="G978" s="5">
        <f t="shared" si="66"/>
        <v>-195.39140599999985</v>
      </c>
      <c r="H978" s="5">
        <f t="shared" si="67"/>
        <v>-2.1277513448764003</v>
      </c>
    </row>
    <row r="979" spans="1:8" x14ac:dyDescent="0.25">
      <c r="A979" t="s">
        <v>981</v>
      </c>
      <c r="B979">
        <v>370355.00170000002</v>
      </c>
      <c r="C979">
        <v>392493.08270000003</v>
      </c>
      <c r="D979">
        <v>10830</v>
      </c>
      <c r="E979" s="5">
        <f t="shared" si="65"/>
        <v>34.197137737765466</v>
      </c>
      <c r="F979" s="5">
        <f t="shared" si="68"/>
        <v>-22138.081000000006</v>
      </c>
      <c r="G979" s="5">
        <f t="shared" si="66"/>
        <v>-221.38081000000005</v>
      </c>
      <c r="H979" s="5">
        <f t="shared" si="67"/>
        <v>-2.0441441366574336</v>
      </c>
    </row>
    <row r="980" spans="1:8" x14ac:dyDescent="0.25">
      <c r="A980" t="s">
        <v>982</v>
      </c>
      <c r="B980">
        <v>369091.05540000001</v>
      </c>
      <c r="C980">
        <v>391842.50140000001</v>
      </c>
      <c r="D980">
        <v>10800</v>
      </c>
      <c r="E980" s="5">
        <f t="shared" si="65"/>
        <v>34.175097722222226</v>
      </c>
      <c r="F980" s="5">
        <f t="shared" si="68"/>
        <v>-22751.445999999996</v>
      </c>
      <c r="G980" s="5">
        <f t="shared" si="66"/>
        <v>-227.51445999999996</v>
      </c>
      <c r="H980" s="5">
        <f t="shared" si="67"/>
        <v>-2.1066153703703701</v>
      </c>
    </row>
    <row r="981" spans="1:8" x14ac:dyDescent="0.25">
      <c r="A981" t="s">
        <v>983</v>
      </c>
      <c r="B981">
        <v>209026.0197</v>
      </c>
      <c r="C981">
        <v>222163.72889999999</v>
      </c>
      <c r="D981">
        <v>6119</v>
      </c>
      <c r="E981" s="5">
        <f t="shared" si="65"/>
        <v>34.160160107860762</v>
      </c>
      <c r="F981" s="5">
        <f t="shared" si="68"/>
        <v>-13137.709199999983</v>
      </c>
      <c r="G981" s="5">
        <f t="shared" si="66"/>
        <v>-131.37709199999983</v>
      </c>
      <c r="H981" s="5">
        <f t="shared" si="67"/>
        <v>-2.1470353325706788</v>
      </c>
    </row>
    <row r="982" spans="1:8" x14ac:dyDescent="0.25">
      <c r="A982" t="s">
        <v>984</v>
      </c>
      <c r="B982">
        <v>228177.3168</v>
      </c>
      <c r="C982">
        <v>242589.58720000001</v>
      </c>
      <c r="D982">
        <v>6685</v>
      </c>
      <c r="E982" s="5">
        <f t="shared" si="65"/>
        <v>34.132732505609575</v>
      </c>
      <c r="F982" s="5">
        <f t="shared" si="68"/>
        <v>-14412.270400000009</v>
      </c>
      <c r="G982" s="5">
        <f t="shared" si="66"/>
        <v>-144.12270400000008</v>
      </c>
      <c r="H982" s="5">
        <f t="shared" si="67"/>
        <v>-2.1559118025430082</v>
      </c>
    </row>
    <row r="983" spans="1:8" x14ac:dyDescent="0.25">
      <c r="A983" t="s">
        <v>985</v>
      </c>
      <c r="B983">
        <v>154494.78200000001</v>
      </c>
      <c r="C983">
        <v>164108.82639999999</v>
      </c>
      <c r="D983">
        <v>4519</v>
      </c>
      <c r="E983" s="5">
        <f t="shared" si="65"/>
        <v>34.187825182562513</v>
      </c>
      <c r="F983" s="5">
        <f t="shared" si="68"/>
        <v>-9614.0443999999843</v>
      </c>
      <c r="G983" s="5">
        <f t="shared" si="66"/>
        <v>-96.140443999999846</v>
      </c>
      <c r="H983" s="5">
        <f t="shared" si="67"/>
        <v>-2.1274716530205762</v>
      </c>
    </row>
    <row r="984" spans="1:8" x14ac:dyDescent="0.25">
      <c r="A984" t="s">
        <v>986</v>
      </c>
      <c r="B984">
        <v>50736.474170000001</v>
      </c>
      <c r="C984">
        <v>43830.19685</v>
      </c>
      <c r="D984">
        <v>1206</v>
      </c>
      <c r="E984" s="5">
        <f t="shared" si="65"/>
        <v>42.070044917081262</v>
      </c>
      <c r="F984" s="5">
        <f xml:space="preserve"> B984-C984</f>
        <v>6906.2773200000011</v>
      </c>
      <c r="G984" s="5">
        <f t="shared" si="66"/>
        <v>69.062773200000009</v>
      </c>
      <c r="H984" s="5">
        <f t="shared" si="67"/>
        <v>5.7265981094527376</v>
      </c>
    </row>
    <row r="985" spans="1:8" x14ac:dyDescent="0.25">
      <c r="A985" t="s">
        <v>987</v>
      </c>
      <c r="B985">
        <v>43292.149239999999</v>
      </c>
      <c r="C985">
        <v>37391.680890000003</v>
      </c>
      <c r="D985">
        <v>1029</v>
      </c>
      <c r="E985" s="5">
        <f t="shared" si="65"/>
        <v>42.07205951409135</v>
      </c>
      <c r="F985" s="5">
        <f t="shared" ref="F985:F1048" si="69" xml:space="preserve"> B985-C985</f>
        <v>5900.4683499999956</v>
      </c>
      <c r="G985" s="5">
        <f t="shared" si="66"/>
        <v>59.004683499999956</v>
      </c>
      <c r="H985" s="5">
        <f t="shared" si="67"/>
        <v>5.7341772108843498</v>
      </c>
    </row>
    <row r="986" spans="1:8" x14ac:dyDescent="0.25">
      <c r="A986" t="s">
        <v>988</v>
      </c>
      <c r="B986">
        <v>77335.918600000005</v>
      </c>
      <c r="C986">
        <v>69612.126699999993</v>
      </c>
      <c r="D986">
        <v>1917</v>
      </c>
      <c r="E986" s="5">
        <f t="shared" si="65"/>
        <v>40.342158894105374</v>
      </c>
      <c r="F986" s="5">
        <f t="shared" si="69"/>
        <v>7723.7919000000111</v>
      </c>
      <c r="G986" s="5">
        <f t="shared" si="66"/>
        <v>77.237919000000105</v>
      </c>
      <c r="H986" s="5">
        <f t="shared" si="67"/>
        <v>4.0291037558685501</v>
      </c>
    </row>
    <row r="987" spans="1:8" x14ac:dyDescent="0.25">
      <c r="A987" t="s">
        <v>989</v>
      </c>
      <c r="B987">
        <v>85070.234890000007</v>
      </c>
      <c r="C987">
        <v>76591.852920000005</v>
      </c>
      <c r="D987">
        <v>2108</v>
      </c>
      <c r="E987" s="5">
        <f t="shared" si="65"/>
        <v>40.355898904174573</v>
      </c>
      <c r="F987" s="5">
        <f t="shared" si="69"/>
        <v>8478.3819700000022</v>
      </c>
      <c r="G987" s="5">
        <f t="shared" si="66"/>
        <v>84.783819700000024</v>
      </c>
      <c r="H987" s="5">
        <f t="shared" si="67"/>
        <v>4.0220028320683126</v>
      </c>
    </row>
    <row r="988" spans="1:8" x14ac:dyDescent="0.25">
      <c r="A988" t="s">
        <v>990</v>
      </c>
      <c r="B988">
        <v>48831.666109999998</v>
      </c>
      <c r="C988">
        <v>44014.232020000003</v>
      </c>
      <c r="D988">
        <v>1211</v>
      </c>
      <c r="E988" s="5">
        <f t="shared" si="65"/>
        <v>40.323423707679602</v>
      </c>
      <c r="F988" s="5">
        <f t="shared" si="69"/>
        <v>4817.4340899999952</v>
      </c>
      <c r="G988" s="5">
        <f t="shared" si="66"/>
        <v>48.174340899999955</v>
      </c>
      <c r="H988" s="5">
        <f t="shared" si="67"/>
        <v>3.9780628323699383</v>
      </c>
    </row>
    <row r="989" spans="1:8" x14ac:dyDescent="0.25">
      <c r="A989" t="s">
        <v>991</v>
      </c>
      <c r="B989">
        <v>52075.157180000002</v>
      </c>
      <c r="C989">
        <v>46884.142509999998</v>
      </c>
      <c r="D989">
        <v>1291</v>
      </c>
      <c r="E989" s="5">
        <f t="shared" si="65"/>
        <v>40.33706985282727</v>
      </c>
      <c r="F989" s="5">
        <f t="shared" si="69"/>
        <v>5191.0146700000041</v>
      </c>
      <c r="G989" s="5">
        <f t="shared" si="66"/>
        <v>51.910146700000041</v>
      </c>
      <c r="H989" s="5">
        <f t="shared" si="67"/>
        <v>4.0209253834237053</v>
      </c>
    </row>
    <row r="990" spans="1:8" x14ac:dyDescent="0.25">
      <c r="A990" t="s">
        <v>992</v>
      </c>
      <c r="B990">
        <v>30424.726259999999</v>
      </c>
      <c r="C990">
        <v>27398.58813</v>
      </c>
      <c r="D990">
        <v>755</v>
      </c>
      <c r="E990" s="5">
        <f t="shared" si="65"/>
        <v>40.297650675496691</v>
      </c>
      <c r="F990" s="5">
        <f t="shared" si="69"/>
        <v>3026.1381299999994</v>
      </c>
      <c r="G990" s="5">
        <f t="shared" si="66"/>
        <v>30.261381299999993</v>
      </c>
      <c r="H990" s="5">
        <f t="shared" si="67"/>
        <v>4.0081299735099325</v>
      </c>
    </row>
    <row r="991" spans="1:8" x14ac:dyDescent="0.25">
      <c r="A991" t="s">
        <v>993</v>
      </c>
      <c r="B991">
        <v>20495.11303</v>
      </c>
      <c r="C991">
        <v>18375.052609999999</v>
      </c>
      <c r="D991">
        <v>508</v>
      </c>
      <c r="E991" s="5">
        <f t="shared" si="65"/>
        <v>40.344710688976377</v>
      </c>
      <c r="F991" s="5">
        <f t="shared" si="69"/>
        <v>2120.0604200000016</v>
      </c>
      <c r="G991" s="5">
        <f t="shared" si="66"/>
        <v>21.200604200000015</v>
      </c>
      <c r="H991" s="5">
        <f t="shared" si="67"/>
        <v>4.1733472834645697</v>
      </c>
    </row>
    <row r="992" spans="1:8" x14ac:dyDescent="0.25">
      <c r="A992" t="s">
        <v>994</v>
      </c>
      <c r="B992">
        <v>40742.171679999999</v>
      </c>
      <c r="C992">
        <v>36464.759810000003</v>
      </c>
      <c r="D992">
        <v>1010</v>
      </c>
      <c r="E992" s="5">
        <f t="shared" si="65"/>
        <v>40.33878384158416</v>
      </c>
      <c r="F992" s="5">
        <f t="shared" si="69"/>
        <v>4277.4118699999963</v>
      </c>
      <c r="G992" s="5">
        <f t="shared" si="66"/>
        <v>42.77411869999996</v>
      </c>
      <c r="H992" s="5">
        <f t="shared" si="67"/>
        <v>4.2350612574257385</v>
      </c>
    </row>
    <row r="993" spans="1:8" x14ac:dyDescent="0.25">
      <c r="A993" t="s">
        <v>995</v>
      </c>
      <c r="B993">
        <v>69864.836989999996</v>
      </c>
      <c r="C993">
        <v>62545.19068</v>
      </c>
      <c r="D993">
        <v>1733</v>
      </c>
      <c r="E993" s="5">
        <f t="shared" si="65"/>
        <v>40.31438949221004</v>
      </c>
      <c r="F993" s="5">
        <f t="shared" si="69"/>
        <v>7319.6463099999964</v>
      </c>
      <c r="G993" s="5">
        <f t="shared" si="66"/>
        <v>73.19646309999996</v>
      </c>
      <c r="H993" s="5">
        <f t="shared" si="67"/>
        <v>4.2236851182919768</v>
      </c>
    </row>
    <row r="994" spans="1:8" x14ac:dyDescent="0.25">
      <c r="A994" t="s">
        <v>996</v>
      </c>
      <c r="B994">
        <v>100120.7111</v>
      </c>
      <c r="C994">
        <v>89572.407619999998</v>
      </c>
      <c r="D994">
        <v>2482</v>
      </c>
      <c r="E994" s="5">
        <f t="shared" si="65"/>
        <v>40.338723247381147</v>
      </c>
      <c r="F994" s="5">
        <f t="shared" si="69"/>
        <v>10548.303480000002</v>
      </c>
      <c r="G994" s="5">
        <f t="shared" si="66"/>
        <v>105.48303480000003</v>
      </c>
      <c r="H994" s="5">
        <f t="shared" si="67"/>
        <v>4.2499208219178088</v>
      </c>
    </row>
    <row r="995" spans="1:8" x14ac:dyDescent="0.25">
      <c r="A995" t="s">
        <v>997</v>
      </c>
      <c r="B995">
        <v>49825.097040000001</v>
      </c>
      <c r="C995">
        <v>44593.796880000002</v>
      </c>
      <c r="D995">
        <v>1235</v>
      </c>
      <c r="E995" s="5">
        <f t="shared" si="65"/>
        <v>40.344208129554659</v>
      </c>
      <c r="F995" s="5">
        <f t="shared" si="69"/>
        <v>5231.3001599999989</v>
      </c>
      <c r="G995" s="5">
        <f t="shared" si="66"/>
        <v>52.313001599999986</v>
      </c>
      <c r="H995" s="5">
        <f t="shared" si="67"/>
        <v>4.2358705748987848</v>
      </c>
    </row>
    <row r="996" spans="1:8" x14ac:dyDescent="0.25">
      <c r="A996" t="s">
        <v>998</v>
      </c>
      <c r="B996">
        <v>46566.462050000002</v>
      </c>
      <c r="C996">
        <v>41660.440430000002</v>
      </c>
      <c r="D996">
        <v>1155</v>
      </c>
      <c r="E996" s="5">
        <f t="shared" si="65"/>
        <v>40.317283160173162</v>
      </c>
      <c r="F996" s="5">
        <f t="shared" si="69"/>
        <v>4906.0216199999995</v>
      </c>
      <c r="G996" s="5">
        <f t="shared" si="66"/>
        <v>49.060216199999992</v>
      </c>
      <c r="H996" s="5">
        <f t="shared" si="67"/>
        <v>4.2476377662337654</v>
      </c>
    </row>
    <row r="997" spans="1:8" x14ac:dyDescent="0.25">
      <c r="A997" t="s">
        <v>999</v>
      </c>
      <c r="B997">
        <v>37923.76586</v>
      </c>
      <c r="C997">
        <v>34031.149490000003</v>
      </c>
      <c r="D997">
        <v>940</v>
      </c>
      <c r="E997" s="5">
        <f t="shared" si="65"/>
        <v>40.344431765957445</v>
      </c>
      <c r="F997" s="5">
        <f t="shared" si="69"/>
        <v>3892.6163699999961</v>
      </c>
      <c r="G997" s="5">
        <f t="shared" si="66"/>
        <v>38.926163699999961</v>
      </c>
      <c r="H997" s="5">
        <f t="shared" si="67"/>
        <v>4.1410812446808469</v>
      </c>
    </row>
    <row r="998" spans="1:8" x14ac:dyDescent="0.25">
      <c r="A998" t="s">
        <v>1000</v>
      </c>
      <c r="B998">
        <v>50084.812700000002</v>
      </c>
      <c r="C998">
        <v>44832.212599999999</v>
      </c>
      <c r="D998">
        <v>1241</v>
      </c>
      <c r="E998" s="5">
        <f t="shared" si="65"/>
        <v>40.358430862207896</v>
      </c>
      <c r="F998" s="5">
        <f t="shared" si="69"/>
        <v>5252.6001000000033</v>
      </c>
      <c r="G998" s="5">
        <f t="shared" si="66"/>
        <v>52.526001000000036</v>
      </c>
      <c r="H998" s="5">
        <f t="shared" si="67"/>
        <v>4.2325544721998414</v>
      </c>
    </row>
    <row r="999" spans="1:8" x14ac:dyDescent="0.25">
      <c r="A999" t="s">
        <v>1001</v>
      </c>
      <c r="B999">
        <v>41885.828280000002</v>
      </c>
      <c r="C999">
        <v>37565.478589999999</v>
      </c>
      <c r="D999">
        <v>1039</v>
      </c>
      <c r="E999" s="5">
        <f t="shared" si="65"/>
        <v>40.313597959576519</v>
      </c>
      <c r="F999" s="5">
        <f t="shared" si="69"/>
        <v>4320.3496900000027</v>
      </c>
      <c r="G999" s="5">
        <f t="shared" si="66"/>
        <v>43.203496900000026</v>
      </c>
      <c r="H999" s="5">
        <f t="shared" si="67"/>
        <v>4.1581806448508205</v>
      </c>
    </row>
    <row r="1000" spans="1:8" x14ac:dyDescent="0.25">
      <c r="A1000" t="s">
        <v>1002</v>
      </c>
      <c r="B1000">
        <v>147503.57320000001</v>
      </c>
      <c r="C1000">
        <v>131964.51579999999</v>
      </c>
      <c r="D1000">
        <v>3657</v>
      </c>
      <c r="E1000" s="5">
        <f t="shared" si="65"/>
        <v>40.334583866557288</v>
      </c>
      <c r="F1000" s="5">
        <f t="shared" si="69"/>
        <v>15539.05740000002</v>
      </c>
      <c r="G1000" s="5">
        <f t="shared" si="66"/>
        <v>155.39057400000019</v>
      </c>
      <c r="H1000" s="5">
        <f t="shared" si="67"/>
        <v>4.2491269893355259</v>
      </c>
    </row>
    <row r="1001" spans="1:8" x14ac:dyDescent="0.25">
      <c r="A1001" t="s">
        <v>1003</v>
      </c>
      <c r="B1001">
        <v>151639.1838</v>
      </c>
      <c r="C1001">
        <v>135498.16320000001</v>
      </c>
      <c r="D1001">
        <v>3758</v>
      </c>
      <c r="E1001" s="5">
        <f t="shared" si="65"/>
        <v>40.351033475252791</v>
      </c>
      <c r="F1001" s="5">
        <f t="shared" si="69"/>
        <v>16141.020599999989</v>
      </c>
      <c r="G1001" s="5">
        <f t="shared" si="66"/>
        <v>161.4102059999999</v>
      </c>
      <c r="H1001" s="5">
        <f t="shared" si="67"/>
        <v>4.295109260244808</v>
      </c>
    </row>
    <row r="1002" spans="1:8" x14ac:dyDescent="0.25">
      <c r="A1002" t="s">
        <v>1004</v>
      </c>
      <c r="B1002">
        <v>72457.297590000002</v>
      </c>
      <c r="C1002">
        <v>64758.50417</v>
      </c>
      <c r="D1002">
        <v>1797</v>
      </c>
      <c r="E1002" s="5">
        <f t="shared" si="65"/>
        <v>40.321256310517533</v>
      </c>
      <c r="F1002" s="5">
        <f t="shared" si="69"/>
        <v>7698.7934200000018</v>
      </c>
      <c r="G1002" s="5">
        <f t="shared" si="66"/>
        <v>76.987934200000012</v>
      </c>
      <c r="H1002" s="5">
        <f t="shared" si="67"/>
        <v>4.2842478686700067</v>
      </c>
    </row>
    <row r="1003" spans="1:8" x14ac:dyDescent="0.25">
      <c r="A1003" t="s">
        <v>1005</v>
      </c>
      <c r="B1003">
        <v>67355.061180000004</v>
      </c>
      <c r="C1003">
        <v>60179.020850000001</v>
      </c>
      <c r="D1003">
        <v>1671</v>
      </c>
      <c r="E1003" s="5">
        <f t="shared" si="65"/>
        <v>40.308235296229803</v>
      </c>
      <c r="F1003" s="5">
        <f t="shared" si="69"/>
        <v>7176.0403300000035</v>
      </c>
      <c r="G1003" s="5">
        <f t="shared" si="66"/>
        <v>71.760403300000036</v>
      </c>
      <c r="H1003" s="5">
        <f t="shared" si="67"/>
        <v>4.2944586056253762</v>
      </c>
    </row>
    <row r="1004" spans="1:8" x14ac:dyDescent="0.25">
      <c r="A1004" t="s">
        <v>1006</v>
      </c>
      <c r="B1004">
        <v>58941.792829999999</v>
      </c>
      <c r="C1004">
        <v>52812.782509999997</v>
      </c>
      <c r="D1004">
        <v>1462</v>
      </c>
      <c r="E1004" s="5">
        <f t="shared" si="65"/>
        <v>40.315863768809848</v>
      </c>
      <c r="F1004" s="5">
        <f t="shared" si="69"/>
        <v>6129.0103200000012</v>
      </c>
      <c r="G1004" s="5">
        <f t="shared" si="66"/>
        <v>61.290103200000011</v>
      </c>
      <c r="H1004" s="5">
        <f t="shared" si="67"/>
        <v>4.1922095212038313</v>
      </c>
    </row>
    <row r="1005" spans="1:8" x14ac:dyDescent="0.25">
      <c r="A1005" t="s">
        <v>1007</v>
      </c>
      <c r="B1005">
        <v>58796.785020000003</v>
      </c>
      <c r="C1005">
        <v>57168.5605</v>
      </c>
      <c r="D1005">
        <v>1581</v>
      </c>
      <c r="E1005" s="5">
        <f t="shared" si="65"/>
        <v>37.189617343453513</v>
      </c>
      <c r="F1005" s="5">
        <f t="shared" si="69"/>
        <v>1628.2245200000034</v>
      </c>
      <c r="G1005" s="5">
        <f t="shared" si="66"/>
        <v>16.282245200000034</v>
      </c>
      <c r="H1005" s="5">
        <f t="shared" si="67"/>
        <v>1.0298700316255556</v>
      </c>
    </row>
    <row r="1006" spans="1:8" x14ac:dyDescent="0.25">
      <c r="A1006" t="s">
        <v>1008</v>
      </c>
      <c r="B1006">
        <v>57019.389669999997</v>
      </c>
      <c r="C1006">
        <v>55187.383909999997</v>
      </c>
      <c r="D1006">
        <v>1534</v>
      </c>
      <c r="E1006" s="5">
        <f t="shared" si="65"/>
        <v>37.170397438070403</v>
      </c>
      <c r="F1006" s="5">
        <f t="shared" si="69"/>
        <v>1832.00576</v>
      </c>
      <c r="G1006" s="5">
        <f t="shared" si="66"/>
        <v>18.320057599999998</v>
      </c>
      <c r="H1006" s="5">
        <f t="shared" si="67"/>
        <v>1.1942671186440679</v>
      </c>
    </row>
    <row r="1007" spans="1:8" x14ac:dyDescent="0.25">
      <c r="A1007" t="s">
        <v>1009</v>
      </c>
      <c r="B1007">
        <v>155918.38260000001</v>
      </c>
      <c r="C1007">
        <v>151036.4455</v>
      </c>
      <c r="D1007">
        <v>4216</v>
      </c>
      <c r="E1007" s="5">
        <f t="shared" si="65"/>
        <v>36.982538567362433</v>
      </c>
      <c r="F1007" s="5">
        <f t="shared" si="69"/>
        <v>4881.9371000000101</v>
      </c>
      <c r="G1007" s="5">
        <f t="shared" si="66"/>
        <v>48.819371000000103</v>
      </c>
      <c r="H1007" s="5">
        <f t="shared" si="67"/>
        <v>1.1579547201138545</v>
      </c>
    </row>
    <row r="1008" spans="1:8" x14ac:dyDescent="0.25">
      <c r="A1008" t="s">
        <v>1010</v>
      </c>
      <c r="B1008">
        <v>208489.09030000001</v>
      </c>
      <c r="C1008">
        <v>201416.8376</v>
      </c>
      <c r="D1008">
        <v>5632</v>
      </c>
      <c r="E1008" s="5">
        <f t="shared" si="65"/>
        <v>37.018659499289775</v>
      </c>
      <c r="F1008" s="5">
        <f t="shared" si="69"/>
        <v>7072.2527000000118</v>
      </c>
      <c r="G1008" s="5">
        <f t="shared" si="66"/>
        <v>70.722527000000113</v>
      </c>
      <c r="H1008" s="5">
        <f t="shared" si="67"/>
        <v>1.2557266867897747</v>
      </c>
    </row>
    <row r="1009" spans="1:8" x14ac:dyDescent="0.25">
      <c r="A1009" t="s">
        <v>1011</v>
      </c>
      <c r="B1009">
        <v>118580.47259999999</v>
      </c>
      <c r="C1009">
        <v>113346.95729999999</v>
      </c>
      <c r="D1009">
        <v>3173</v>
      </c>
      <c r="E1009" s="5">
        <f t="shared" si="65"/>
        <v>37.371721588402139</v>
      </c>
      <c r="F1009" s="5">
        <f t="shared" si="69"/>
        <v>5233.5152999999991</v>
      </c>
      <c r="G1009" s="5">
        <f t="shared" si="66"/>
        <v>52.335152999999991</v>
      </c>
      <c r="H1009" s="5">
        <f t="shared" si="67"/>
        <v>1.6493902615820988</v>
      </c>
    </row>
    <row r="1010" spans="1:8" x14ac:dyDescent="0.25">
      <c r="A1010" t="s">
        <v>1012</v>
      </c>
      <c r="B1010">
        <v>142758.8811</v>
      </c>
      <c r="C1010">
        <v>126506.3447</v>
      </c>
      <c r="D1010">
        <v>3540</v>
      </c>
      <c r="E1010" s="5">
        <f t="shared" si="65"/>
        <v>40.327367542372883</v>
      </c>
      <c r="F1010" s="5">
        <f t="shared" si="69"/>
        <v>16252.536399999997</v>
      </c>
      <c r="G1010" s="5">
        <f t="shared" si="66"/>
        <v>162.52536399999997</v>
      </c>
      <c r="H1010" s="5">
        <f t="shared" si="67"/>
        <v>4.5911119774011295</v>
      </c>
    </row>
    <row r="1011" spans="1:8" x14ac:dyDescent="0.25">
      <c r="A1011" t="s">
        <v>1013</v>
      </c>
      <c r="B1011">
        <v>96620.986929999999</v>
      </c>
      <c r="C1011">
        <v>85491.833240000007</v>
      </c>
      <c r="D1011">
        <v>2397</v>
      </c>
      <c r="E1011" s="5">
        <f t="shared" si="65"/>
        <v>40.309130967876513</v>
      </c>
      <c r="F1011" s="5">
        <f t="shared" si="69"/>
        <v>11129.153689999992</v>
      </c>
      <c r="G1011" s="5">
        <f t="shared" si="66"/>
        <v>111.29153689999993</v>
      </c>
      <c r="H1011" s="5">
        <f t="shared" si="67"/>
        <v>4.6429510596579027</v>
      </c>
    </row>
    <row r="1012" spans="1:8" x14ac:dyDescent="0.25">
      <c r="A1012" t="s">
        <v>1014</v>
      </c>
      <c r="B1012">
        <v>78861.594939999995</v>
      </c>
      <c r="C1012">
        <v>69675.429149999996</v>
      </c>
      <c r="D1012">
        <v>1955</v>
      </c>
      <c r="E1012" s="5">
        <f t="shared" si="65"/>
        <v>40.338411734015345</v>
      </c>
      <c r="F1012" s="5">
        <f t="shared" si="69"/>
        <v>9186.1657899999991</v>
      </c>
      <c r="G1012" s="5">
        <f t="shared" si="66"/>
        <v>91.861657899999997</v>
      </c>
      <c r="H1012" s="5">
        <f t="shared" si="67"/>
        <v>4.6988060306905366</v>
      </c>
    </row>
    <row r="1013" spans="1:8" x14ac:dyDescent="0.25">
      <c r="A1013" t="s">
        <v>1015</v>
      </c>
      <c r="B1013">
        <v>70279.474390000003</v>
      </c>
      <c r="C1013">
        <v>61976.305789999999</v>
      </c>
      <c r="D1013">
        <v>1740</v>
      </c>
      <c r="E1013" s="5">
        <f t="shared" si="65"/>
        <v>40.390502522988506</v>
      </c>
      <c r="F1013" s="5">
        <f t="shared" si="69"/>
        <v>8303.1686000000045</v>
      </c>
      <c r="G1013" s="5">
        <f t="shared" si="66"/>
        <v>83.03168600000005</v>
      </c>
      <c r="H1013" s="5">
        <f t="shared" si="67"/>
        <v>4.7719359770114966</v>
      </c>
    </row>
    <row r="1014" spans="1:8" x14ac:dyDescent="0.25">
      <c r="A1014" t="s">
        <v>1016</v>
      </c>
      <c r="B1014">
        <v>87748.862890000004</v>
      </c>
      <c r="C1014">
        <v>77446.60944</v>
      </c>
      <c r="D1014">
        <v>2176</v>
      </c>
      <c r="E1014" s="5">
        <f t="shared" si="65"/>
        <v>40.325764195772059</v>
      </c>
      <c r="F1014" s="5">
        <f t="shared" si="69"/>
        <v>10302.253450000004</v>
      </c>
      <c r="G1014" s="5">
        <f t="shared" si="66"/>
        <v>103.02253450000003</v>
      </c>
      <c r="H1014" s="5">
        <f t="shared" si="67"/>
        <v>4.734491475183825</v>
      </c>
    </row>
    <row r="1015" spans="1:8" x14ac:dyDescent="0.25">
      <c r="A1015" t="s">
        <v>1017</v>
      </c>
      <c r="B1015">
        <v>92053.325769999996</v>
      </c>
      <c r="C1015">
        <v>81209.248349999994</v>
      </c>
      <c r="D1015">
        <v>2283</v>
      </c>
      <c r="E1015" s="5">
        <f t="shared" si="65"/>
        <v>40.321211462987293</v>
      </c>
      <c r="F1015" s="5">
        <f t="shared" si="69"/>
        <v>10844.077420000001</v>
      </c>
      <c r="G1015" s="5">
        <f t="shared" si="66"/>
        <v>108.44077420000002</v>
      </c>
      <c r="H1015" s="5">
        <f t="shared" si="67"/>
        <v>4.7499244064826991</v>
      </c>
    </row>
    <row r="1016" spans="1:8" x14ac:dyDescent="0.25">
      <c r="A1016" t="s">
        <v>1018</v>
      </c>
      <c r="B1016">
        <v>51751.383249999999</v>
      </c>
      <c r="C1016">
        <v>45607.234100000001</v>
      </c>
      <c r="D1016">
        <v>1284</v>
      </c>
      <c r="E1016" s="5">
        <f t="shared" si="65"/>
        <v>40.304815615264793</v>
      </c>
      <c r="F1016" s="5">
        <f t="shared" si="69"/>
        <v>6144.1491499999975</v>
      </c>
      <c r="G1016" s="5">
        <f t="shared" si="66"/>
        <v>61.441491499999977</v>
      </c>
      <c r="H1016" s="5">
        <f t="shared" si="67"/>
        <v>4.785162889408098</v>
      </c>
    </row>
    <row r="1017" spans="1:8" x14ac:dyDescent="0.25">
      <c r="A1017" t="s">
        <v>1019</v>
      </c>
      <c r="B1017">
        <v>50934.983189999999</v>
      </c>
      <c r="C1017">
        <v>44983.777300000002</v>
      </c>
      <c r="D1017">
        <v>1263</v>
      </c>
      <c r="E1017" s="5">
        <f t="shared" si="65"/>
        <v>40.328569429928741</v>
      </c>
      <c r="F1017" s="5">
        <f t="shared" si="69"/>
        <v>5951.2058899999975</v>
      </c>
      <c r="G1017" s="5">
        <f t="shared" si="66"/>
        <v>59.512058899999971</v>
      </c>
      <c r="H1017" s="5">
        <f t="shared" si="67"/>
        <v>4.7119603246239095</v>
      </c>
    </row>
    <row r="1018" spans="1:8" x14ac:dyDescent="0.25">
      <c r="A1018" t="s">
        <v>1020</v>
      </c>
      <c r="B1018">
        <v>36113.934869999997</v>
      </c>
      <c r="C1018">
        <v>31885.28845</v>
      </c>
      <c r="D1018">
        <v>896</v>
      </c>
      <c r="E1018" s="5">
        <f t="shared" si="65"/>
        <v>40.305730881696427</v>
      </c>
      <c r="F1018" s="5">
        <f t="shared" si="69"/>
        <v>4228.6464199999973</v>
      </c>
      <c r="G1018" s="5">
        <f t="shared" si="66"/>
        <v>42.286464199999976</v>
      </c>
      <c r="H1018" s="5">
        <f t="shared" si="67"/>
        <v>4.7194714508928541</v>
      </c>
    </row>
    <row r="1019" spans="1:8" x14ac:dyDescent="0.25">
      <c r="A1019" t="s">
        <v>1021</v>
      </c>
      <c r="B1019">
        <v>31023.359769999999</v>
      </c>
      <c r="C1019">
        <v>27817.642469999999</v>
      </c>
      <c r="D1019">
        <v>768</v>
      </c>
      <c r="E1019" s="5">
        <f t="shared" si="65"/>
        <v>40.394999700520835</v>
      </c>
      <c r="F1019" s="5">
        <f t="shared" si="69"/>
        <v>3205.7173000000003</v>
      </c>
      <c r="G1019" s="5">
        <f t="shared" si="66"/>
        <v>32.057173000000006</v>
      </c>
      <c r="H1019" s="5">
        <f t="shared" si="67"/>
        <v>4.174111067708334</v>
      </c>
    </row>
    <row r="1020" spans="1:8" x14ac:dyDescent="0.25">
      <c r="A1020" t="s">
        <v>1022</v>
      </c>
      <c r="B1020">
        <v>22334.212530000001</v>
      </c>
      <c r="C1020">
        <v>19704.093150000001</v>
      </c>
      <c r="D1020">
        <v>521</v>
      </c>
      <c r="E1020" s="5">
        <f t="shared" si="65"/>
        <v>42.867970307101729</v>
      </c>
      <c r="F1020" s="5">
        <f t="shared" si="69"/>
        <v>2630.1193800000001</v>
      </c>
      <c r="G1020" s="5">
        <f t="shared" si="66"/>
        <v>26.3011938</v>
      </c>
      <c r="H1020" s="5">
        <f t="shared" si="67"/>
        <v>5.048213781190019</v>
      </c>
    </row>
    <row r="1021" spans="1:8" x14ac:dyDescent="0.25">
      <c r="A1021" t="s">
        <v>1023</v>
      </c>
      <c r="B1021">
        <v>69440.928799999994</v>
      </c>
      <c r="C1021">
        <v>62070.751179999999</v>
      </c>
      <c r="D1021">
        <v>1618</v>
      </c>
      <c r="E1021" s="5">
        <f t="shared" si="65"/>
        <v>42.917755747836829</v>
      </c>
      <c r="F1021" s="5">
        <f t="shared" si="69"/>
        <v>7370.1776199999949</v>
      </c>
      <c r="G1021" s="5">
        <f t="shared" si="66"/>
        <v>73.701776199999955</v>
      </c>
      <c r="H1021" s="5">
        <f t="shared" si="67"/>
        <v>4.5551159579728031</v>
      </c>
    </row>
    <row r="1022" spans="1:8" x14ac:dyDescent="0.25">
      <c r="A1022" t="s">
        <v>1024</v>
      </c>
      <c r="B1022">
        <v>92159.029790000001</v>
      </c>
      <c r="C1022">
        <v>83371.817020000002</v>
      </c>
      <c r="D1022">
        <v>2147</v>
      </c>
      <c r="E1022" s="5">
        <f t="shared" si="65"/>
        <v>42.924559753143924</v>
      </c>
      <c r="F1022" s="5">
        <f t="shared" si="69"/>
        <v>8787.2127699999983</v>
      </c>
      <c r="G1022" s="5">
        <f t="shared" si="66"/>
        <v>87.872127699999979</v>
      </c>
      <c r="H1022" s="5">
        <f t="shared" si="67"/>
        <v>4.0927865719608745</v>
      </c>
    </row>
    <row r="1023" spans="1:8" x14ac:dyDescent="0.25">
      <c r="A1023" t="s">
        <v>1025</v>
      </c>
      <c r="B1023">
        <v>57296.287850000001</v>
      </c>
      <c r="C1023">
        <v>52701.294609999997</v>
      </c>
      <c r="D1023">
        <v>1335</v>
      </c>
      <c r="E1023" s="5">
        <f t="shared" si="65"/>
        <v>42.918567677902622</v>
      </c>
      <c r="F1023" s="5">
        <f t="shared" si="69"/>
        <v>4594.9932400000034</v>
      </c>
      <c r="G1023" s="5">
        <f t="shared" si="66"/>
        <v>45.949932400000037</v>
      </c>
      <c r="H1023" s="5">
        <f t="shared" si="67"/>
        <v>3.4419425018726617</v>
      </c>
    </row>
    <row r="1024" spans="1:8" x14ac:dyDescent="0.25">
      <c r="A1024" t="s">
        <v>1026</v>
      </c>
      <c r="B1024">
        <v>57184.941270000003</v>
      </c>
      <c r="C1024">
        <v>51764.93737</v>
      </c>
      <c r="D1024">
        <v>1332</v>
      </c>
      <c r="E1024" s="5">
        <f t="shared" si="65"/>
        <v>42.931637590090091</v>
      </c>
      <c r="F1024" s="5">
        <f t="shared" si="69"/>
        <v>5420.0039000000033</v>
      </c>
      <c r="G1024" s="5">
        <f t="shared" si="66"/>
        <v>54.200039000000032</v>
      </c>
      <c r="H1024" s="5">
        <f t="shared" si="67"/>
        <v>4.0690719969969997</v>
      </c>
    </row>
    <row r="1025" spans="1:8" x14ac:dyDescent="0.25">
      <c r="A1025" t="s">
        <v>1027</v>
      </c>
      <c r="B1025">
        <v>40951.10428</v>
      </c>
      <c r="C1025">
        <v>37288.62455</v>
      </c>
      <c r="D1025">
        <v>954</v>
      </c>
      <c r="E1025" s="5">
        <f t="shared" si="65"/>
        <v>42.925685828092242</v>
      </c>
      <c r="F1025" s="5">
        <f t="shared" si="69"/>
        <v>3662.4797299999991</v>
      </c>
      <c r="G1025" s="5">
        <f t="shared" si="66"/>
        <v>36.62479729999999</v>
      </c>
      <c r="H1025" s="5">
        <f t="shared" si="67"/>
        <v>3.839077285115303</v>
      </c>
    </row>
    <row r="1026" spans="1:8" x14ac:dyDescent="0.25">
      <c r="A1026" t="s">
        <v>1028</v>
      </c>
      <c r="B1026">
        <v>37672.447289999996</v>
      </c>
      <c r="C1026">
        <v>33678.459269999999</v>
      </c>
      <c r="D1026">
        <v>877</v>
      </c>
      <c r="E1026" s="5">
        <f t="shared" si="65"/>
        <v>42.956040239452676</v>
      </c>
      <c r="F1026" s="5">
        <f t="shared" si="69"/>
        <v>3993.9880199999971</v>
      </c>
      <c r="G1026" s="5">
        <f t="shared" si="66"/>
        <v>39.939880199999969</v>
      </c>
      <c r="H1026" s="5">
        <f t="shared" si="67"/>
        <v>4.5541482554161883</v>
      </c>
    </row>
    <row r="1027" spans="1:8" x14ac:dyDescent="0.25">
      <c r="A1027" t="s">
        <v>1029</v>
      </c>
      <c r="B1027">
        <v>38648.137519999997</v>
      </c>
      <c r="C1027">
        <v>35038.06869</v>
      </c>
      <c r="D1027">
        <v>906</v>
      </c>
      <c r="E1027" s="5">
        <f t="shared" ref="E1027:E1052" si="70">B1027/D1027</f>
        <v>42.657988432671075</v>
      </c>
      <c r="F1027" s="5">
        <f t="shared" si="69"/>
        <v>3610.0688299999965</v>
      </c>
      <c r="G1027" s="5">
        <f t="shared" ref="G1027:G1054" si="71">F1027/100</f>
        <v>36.100688299999966</v>
      </c>
      <c r="H1027" s="5">
        <f t="shared" ref="H1027:H1054" si="72">F1027/D1027</f>
        <v>3.9846234326710777</v>
      </c>
    </row>
    <row r="1028" spans="1:8" x14ac:dyDescent="0.25">
      <c r="A1028" t="s">
        <v>1030</v>
      </c>
      <c r="B1028">
        <v>96020.545370000007</v>
      </c>
      <c r="C1028">
        <v>86810.277530000007</v>
      </c>
      <c r="D1028">
        <v>2249</v>
      </c>
      <c r="E1028" s="5">
        <f t="shared" si="70"/>
        <v>42.694773397065369</v>
      </c>
      <c r="F1028" s="5">
        <f t="shared" si="69"/>
        <v>9210.2678400000004</v>
      </c>
      <c r="G1028" s="5">
        <f t="shared" si="71"/>
        <v>92.102678400000002</v>
      </c>
      <c r="H1028" s="5">
        <f t="shared" si="72"/>
        <v>4.0952724944419741</v>
      </c>
    </row>
    <row r="1029" spans="1:8" x14ac:dyDescent="0.25">
      <c r="A1029" t="s">
        <v>1031</v>
      </c>
      <c r="B1029">
        <v>105662.59420000001</v>
      </c>
      <c r="C1029">
        <v>95930.016510000001</v>
      </c>
      <c r="D1029">
        <v>2472</v>
      </c>
      <c r="E1029" s="5">
        <f t="shared" si="70"/>
        <v>42.743767880258901</v>
      </c>
      <c r="F1029" s="5">
        <f t="shared" si="69"/>
        <v>9732.5776900000055</v>
      </c>
      <c r="G1029" s="5">
        <f t="shared" si="71"/>
        <v>97.325776900000051</v>
      </c>
      <c r="H1029" s="5">
        <f t="shared" si="72"/>
        <v>3.9371268972491933</v>
      </c>
    </row>
    <row r="1030" spans="1:8" x14ac:dyDescent="0.25">
      <c r="A1030" t="s">
        <v>1032</v>
      </c>
      <c r="B1030">
        <v>54738.483520000002</v>
      </c>
      <c r="C1030">
        <v>49990.519289999997</v>
      </c>
      <c r="D1030">
        <v>1280</v>
      </c>
      <c r="E1030" s="5">
        <f t="shared" si="70"/>
        <v>42.76444025</v>
      </c>
      <c r="F1030" s="5">
        <f t="shared" si="69"/>
        <v>4747.964230000005</v>
      </c>
      <c r="G1030" s="5">
        <f t="shared" si="71"/>
        <v>47.479642300000052</v>
      </c>
      <c r="H1030" s="5">
        <f t="shared" si="72"/>
        <v>3.709347054687504</v>
      </c>
    </row>
    <row r="1031" spans="1:8" x14ac:dyDescent="0.25">
      <c r="A1031" t="s">
        <v>1033</v>
      </c>
      <c r="B1031">
        <v>40131.573510000002</v>
      </c>
      <c r="C1031">
        <v>36347.69872</v>
      </c>
      <c r="D1031">
        <v>940</v>
      </c>
      <c r="E1031" s="5">
        <f t="shared" si="70"/>
        <v>42.693163308510641</v>
      </c>
      <c r="F1031" s="5">
        <f t="shared" si="69"/>
        <v>3783.8747900000017</v>
      </c>
      <c r="G1031" s="5">
        <f t="shared" si="71"/>
        <v>37.838747900000016</v>
      </c>
      <c r="H1031" s="5">
        <f t="shared" si="72"/>
        <v>4.0253987127659592</v>
      </c>
    </row>
    <row r="1032" spans="1:8" x14ac:dyDescent="0.25">
      <c r="A1032" t="s">
        <v>1034</v>
      </c>
      <c r="B1032">
        <v>70402.991930000004</v>
      </c>
      <c r="C1032">
        <v>63452.761039999998</v>
      </c>
      <c r="D1032">
        <v>1650</v>
      </c>
      <c r="E1032" s="5">
        <f t="shared" si="70"/>
        <v>42.668479957575762</v>
      </c>
      <c r="F1032" s="5">
        <f t="shared" si="69"/>
        <v>6950.2308900000062</v>
      </c>
      <c r="G1032" s="5">
        <f t="shared" si="71"/>
        <v>69.50230890000006</v>
      </c>
      <c r="H1032" s="5">
        <f t="shared" si="72"/>
        <v>4.2122611454545495</v>
      </c>
    </row>
    <row r="1033" spans="1:8" x14ac:dyDescent="0.25">
      <c r="A1033" t="s">
        <v>1035</v>
      </c>
      <c r="B1033">
        <v>62501.740700000002</v>
      </c>
      <c r="C1033">
        <v>56100.87429</v>
      </c>
      <c r="D1033">
        <v>1467</v>
      </c>
      <c r="E1033" s="5">
        <f t="shared" si="70"/>
        <v>42.605140218132242</v>
      </c>
      <c r="F1033" s="5">
        <f t="shared" si="69"/>
        <v>6400.8664100000024</v>
      </c>
      <c r="G1033" s="5">
        <f t="shared" si="71"/>
        <v>64.008664100000018</v>
      </c>
      <c r="H1033" s="5">
        <f t="shared" si="72"/>
        <v>4.3632354533060687</v>
      </c>
    </row>
    <row r="1034" spans="1:8" x14ac:dyDescent="0.25">
      <c r="A1034" t="s">
        <v>1036</v>
      </c>
      <c r="B1034">
        <v>53675.218280000001</v>
      </c>
      <c r="C1034">
        <v>48201.940979999999</v>
      </c>
      <c r="D1034">
        <v>1257</v>
      </c>
      <c r="E1034" s="5">
        <f t="shared" si="70"/>
        <v>42.701048750994431</v>
      </c>
      <c r="F1034" s="5">
        <f t="shared" si="69"/>
        <v>5473.2773000000016</v>
      </c>
      <c r="G1034" s="5">
        <f t="shared" si="71"/>
        <v>54.732773000000016</v>
      </c>
      <c r="H1034" s="5">
        <f t="shared" si="72"/>
        <v>4.3542381066030247</v>
      </c>
    </row>
    <row r="1035" spans="1:8" x14ac:dyDescent="0.25">
      <c r="A1035" t="s">
        <v>1037</v>
      </c>
      <c r="B1035">
        <v>102606.327</v>
      </c>
      <c r="C1035">
        <v>92657.699529999998</v>
      </c>
      <c r="D1035">
        <v>2405</v>
      </c>
      <c r="E1035" s="5">
        <f t="shared" si="70"/>
        <v>42.663753430353431</v>
      </c>
      <c r="F1035" s="5">
        <f t="shared" si="69"/>
        <v>9948.6274700000067</v>
      </c>
      <c r="G1035" s="5">
        <f t="shared" si="71"/>
        <v>99.486274700000067</v>
      </c>
      <c r="H1035" s="5">
        <f t="shared" si="72"/>
        <v>4.1366434386694415</v>
      </c>
    </row>
    <row r="1036" spans="1:8" x14ac:dyDescent="0.25">
      <c r="A1036" t="s">
        <v>1038</v>
      </c>
      <c r="B1036">
        <v>124988.15549999999</v>
      </c>
      <c r="C1036">
        <v>113187.84600000001</v>
      </c>
      <c r="D1036">
        <v>2929</v>
      </c>
      <c r="E1036" s="5">
        <f t="shared" si="70"/>
        <v>42.672637589621026</v>
      </c>
      <c r="F1036" s="5">
        <f t="shared" si="69"/>
        <v>11800.309499999988</v>
      </c>
      <c r="G1036" s="5">
        <f t="shared" si="71"/>
        <v>118.00309499999989</v>
      </c>
      <c r="H1036" s="5">
        <f t="shared" si="72"/>
        <v>4.0287843974052535</v>
      </c>
    </row>
    <row r="1037" spans="1:8" x14ac:dyDescent="0.25">
      <c r="A1037" t="s">
        <v>1039</v>
      </c>
      <c r="B1037">
        <v>67521.037490000002</v>
      </c>
      <c r="C1037">
        <v>61233.718869999997</v>
      </c>
      <c r="D1037">
        <v>1582</v>
      </c>
      <c r="E1037" s="5">
        <f t="shared" si="70"/>
        <v>42.680807515802783</v>
      </c>
      <c r="F1037" s="5">
        <f t="shared" si="69"/>
        <v>6287.3186200000055</v>
      </c>
      <c r="G1037" s="5">
        <f t="shared" si="71"/>
        <v>62.873186200000056</v>
      </c>
      <c r="H1037" s="5">
        <f t="shared" si="72"/>
        <v>3.9742848419721906</v>
      </c>
    </row>
    <row r="1038" spans="1:8" x14ac:dyDescent="0.25">
      <c r="A1038" t="s">
        <v>1040</v>
      </c>
      <c r="B1038">
        <v>70020.596009999994</v>
      </c>
      <c r="C1038">
        <v>62316.151339999997</v>
      </c>
      <c r="D1038">
        <v>1639</v>
      </c>
      <c r="E1038" s="5">
        <f t="shared" si="70"/>
        <v>42.721535088468578</v>
      </c>
      <c r="F1038" s="5">
        <f t="shared" si="69"/>
        <v>7704.4446699999971</v>
      </c>
      <c r="G1038" s="5">
        <f t="shared" si="71"/>
        <v>77.044446699999966</v>
      </c>
      <c r="H1038" s="5">
        <f t="shared" si="72"/>
        <v>4.7006983953630241</v>
      </c>
    </row>
    <row r="1039" spans="1:8" x14ac:dyDescent="0.25">
      <c r="A1039" t="s">
        <v>1041</v>
      </c>
      <c r="B1039">
        <v>126954.17019999999</v>
      </c>
      <c r="C1039">
        <v>110698.7429</v>
      </c>
      <c r="D1039">
        <v>2971</v>
      </c>
      <c r="E1039" s="5">
        <f t="shared" si="70"/>
        <v>42.731124267923256</v>
      </c>
      <c r="F1039" s="5">
        <f t="shared" si="69"/>
        <v>16255.427299999996</v>
      </c>
      <c r="G1039" s="5">
        <f t="shared" si="71"/>
        <v>162.55427299999997</v>
      </c>
      <c r="H1039" s="5">
        <f t="shared" si="72"/>
        <v>5.4713656344665083</v>
      </c>
    </row>
    <row r="1040" spans="1:8" x14ac:dyDescent="0.25">
      <c r="A1040" t="s">
        <v>1042</v>
      </c>
      <c r="B1040">
        <v>97558.247050000005</v>
      </c>
      <c r="C1040">
        <v>86203.875199999995</v>
      </c>
      <c r="D1040">
        <v>2284</v>
      </c>
      <c r="E1040" s="5">
        <f t="shared" si="70"/>
        <v>42.713768410683016</v>
      </c>
      <c r="F1040" s="5">
        <f t="shared" si="69"/>
        <v>11354.37185000001</v>
      </c>
      <c r="G1040" s="5">
        <f t="shared" si="71"/>
        <v>113.54371850000011</v>
      </c>
      <c r="H1040" s="5">
        <f t="shared" si="72"/>
        <v>4.9712661339754858</v>
      </c>
    </row>
    <row r="1041" spans="1:8" x14ac:dyDescent="0.25">
      <c r="A1041" t="s">
        <v>1043</v>
      </c>
      <c r="B1041">
        <v>97039.009869999994</v>
      </c>
      <c r="C1041">
        <v>89413.415970000002</v>
      </c>
      <c r="D1041">
        <v>2266</v>
      </c>
      <c r="E1041" s="5">
        <f t="shared" si="70"/>
        <v>42.823923155339806</v>
      </c>
      <c r="F1041" s="5">
        <f t="shared" si="69"/>
        <v>7625.5938999999926</v>
      </c>
      <c r="G1041" s="5">
        <f t="shared" si="71"/>
        <v>76.255938999999927</v>
      </c>
      <c r="H1041" s="5">
        <f t="shared" si="72"/>
        <v>3.3652223742277108</v>
      </c>
    </row>
    <row r="1042" spans="1:8" x14ac:dyDescent="0.25">
      <c r="A1042" t="s">
        <v>1044</v>
      </c>
      <c r="B1042">
        <v>168349.2653</v>
      </c>
      <c r="C1042">
        <v>156675.5901</v>
      </c>
      <c r="D1042">
        <v>3938</v>
      </c>
      <c r="E1042" s="5">
        <f t="shared" si="70"/>
        <v>42.749940401218893</v>
      </c>
      <c r="F1042" s="5">
        <f t="shared" si="69"/>
        <v>11673.675199999998</v>
      </c>
      <c r="G1042" s="5">
        <f t="shared" si="71"/>
        <v>116.73675199999998</v>
      </c>
      <c r="H1042" s="5">
        <f t="shared" si="72"/>
        <v>2.9643664804469267</v>
      </c>
    </row>
    <row r="1043" spans="1:8" x14ac:dyDescent="0.25">
      <c r="A1043" t="s">
        <v>1045</v>
      </c>
      <c r="B1043">
        <v>202017.42199999999</v>
      </c>
      <c r="C1043">
        <v>189394.6937</v>
      </c>
      <c r="D1043">
        <v>4720</v>
      </c>
      <c r="E1043" s="5">
        <f t="shared" si="70"/>
        <v>42.800301271186441</v>
      </c>
      <c r="F1043" s="5">
        <f t="shared" si="69"/>
        <v>12622.728299999988</v>
      </c>
      <c r="G1043" s="5">
        <f t="shared" si="71"/>
        <v>126.22728299999989</v>
      </c>
      <c r="H1043" s="5">
        <f t="shared" si="72"/>
        <v>2.6743068432203363</v>
      </c>
    </row>
    <row r="1044" spans="1:8" x14ac:dyDescent="0.25">
      <c r="A1044" t="s">
        <v>1046</v>
      </c>
      <c r="B1044">
        <v>108459.0001</v>
      </c>
      <c r="C1044">
        <v>102250.1678</v>
      </c>
      <c r="D1044">
        <v>2537</v>
      </c>
      <c r="E1044" s="5">
        <f t="shared" si="70"/>
        <v>42.750886913677576</v>
      </c>
      <c r="F1044" s="5">
        <f t="shared" si="69"/>
        <v>6208.8323000000091</v>
      </c>
      <c r="G1044" s="5">
        <f t="shared" si="71"/>
        <v>62.088323000000088</v>
      </c>
      <c r="H1044" s="5">
        <f t="shared" si="72"/>
        <v>2.4473126921560935</v>
      </c>
    </row>
    <row r="1045" spans="1:8" x14ac:dyDescent="0.25">
      <c r="A1045" t="s">
        <v>1047</v>
      </c>
      <c r="B1045">
        <v>112536.3771</v>
      </c>
      <c r="C1045">
        <v>105978.4825</v>
      </c>
      <c r="D1045">
        <v>2621</v>
      </c>
      <c r="E1045" s="5">
        <f t="shared" si="70"/>
        <v>42.936427737504765</v>
      </c>
      <c r="F1045" s="5">
        <f t="shared" si="69"/>
        <v>6557.8945999999996</v>
      </c>
      <c r="G1045" s="5">
        <f t="shared" si="71"/>
        <v>65.578946000000002</v>
      </c>
      <c r="H1045" s="5">
        <f t="shared" si="72"/>
        <v>2.5020582220526517</v>
      </c>
    </row>
    <row r="1046" spans="1:8" x14ac:dyDescent="0.25">
      <c r="A1046" t="s">
        <v>1048</v>
      </c>
      <c r="B1046">
        <v>100479.93</v>
      </c>
      <c r="C1046">
        <v>94692.479290000003</v>
      </c>
      <c r="D1046">
        <v>2341</v>
      </c>
      <c r="E1046" s="5">
        <f t="shared" si="70"/>
        <v>42.921798376762062</v>
      </c>
      <c r="F1046" s="5">
        <f t="shared" si="69"/>
        <v>5787.4507099999901</v>
      </c>
      <c r="G1046" s="5">
        <f t="shared" si="71"/>
        <v>57.874507099999903</v>
      </c>
      <c r="H1046" s="5">
        <f t="shared" si="72"/>
        <v>2.4722130328919221</v>
      </c>
    </row>
    <row r="1047" spans="1:8" x14ac:dyDescent="0.25">
      <c r="A1047" t="s">
        <v>1049</v>
      </c>
      <c r="B1047">
        <v>81649.688670000003</v>
      </c>
      <c r="C1047">
        <v>77081.660569999993</v>
      </c>
      <c r="D1047">
        <v>1901</v>
      </c>
      <c r="E1047" s="5">
        <f t="shared" si="70"/>
        <v>42.950914608101002</v>
      </c>
      <c r="F1047" s="5">
        <f t="shared" si="69"/>
        <v>4568.0281000000105</v>
      </c>
      <c r="G1047" s="5">
        <f t="shared" si="71"/>
        <v>45.680281000000107</v>
      </c>
      <c r="H1047" s="5">
        <f t="shared" si="72"/>
        <v>2.4029605996843824</v>
      </c>
    </row>
    <row r="1048" spans="1:8" x14ac:dyDescent="0.25">
      <c r="A1048" t="s">
        <v>1050</v>
      </c>
      <c r="B1048">
        <v>71529.162639999995</v>
      </c>
      <c r="C1048">
        <v>67551.250969999994</v>
      </c>
      <c r="D1048">
        <v>1666</v>
      </c>
      <c r="E1048" s="5">
        <f t="shared" si="70"/>
        <v>42.934671452581028</v>
      </c>
      <c r="F1048" s="5">
        <f t="shared" si="69"/>
        <v>3977.9116700000013</v>
      </c>
      <c r="G1048" s="5">
        <f t="shared" si="71"/>
        <v>39.77911670000001</v>
      </c>
      <c r="H1048" s="5">
        <f t="shared" si="72"/>
        <v>2.3877020828331341</v>
      </c>
    </row>
    <row r="1049" spans="1:8" x14ac:dyDescent="0.25">
      <c r="A1049" t="s">
        <v>1051</v>
      </c>
      <c r="B1049">
        <v>160938.60159999999</v>
      </c>
      <c r="C1049">
        <v>152555.4173</v>
      </c>
      <c r="D1049">
        <v>3748</v>
      </c>
      <c r="E1049" s="5">
        <f t="shared" si="70"/>
        <v>42.939861686232653</v>
      </c>
      <c r="F1049" s="5">
        <f t="shared" ref="F1049:F1054" si="73" xml:space="preserve"> B1049-C1049</f>
        <v>8383.1842999999935</v>
      </c>
      <c r="G1049" s="5">
        <f t="shared" si="71"/>
        <v>83.831842999999935</v>
      </c>
      <c r="H1049" s="5">
        <f t="shared" si="72"/>
        <v>2.2367087246531465</v>
      </c>
    </row>
    <row r="1050" spans="1:8" x14ac:dyDescent="0.25">
      <c r="A1050" t="s">
        <v>1052</v>
      </c>
      <c r="B1050">
        <v>164998.84460000001</v>
      </c>
      <c r="C1050">
        <v>156263.1495</v>
      </c>
      <c r="D1050">
        <v>3843</v>
      </c>
      <c r="E1050" s="5">
        <f t="shared" si="70"/>
        <v>42.934906219099666</v>
      </c>
      <c r="F1050" s="5">
        <f t="shared" si="73"/>
        <v>8735.6951000000117</v>
      </c>
      <c r="G1050" s="5">
        <f t="shared" si="71"/>
        <v>87.356951000000123</v>
      </c>
      <c r="H1050" s="5">
        <f t="shared" si="72"/>
        <v>2.2731447046578226</v>
      </c>
    </row>
    <row r="1051" spans="1:8" x14ac:dyDescent="0.25">
      <c r="A1051" t="s">
        <v>1053</v>
      </c>
      <c r="B1051">
        <v>97946.783049999998</v>
      </c>
      <c r="C1051">
        <v>93112.608909999995</v>
      </c>
      <c r="D1051">
        <v>2281</v>
      </c>
      <c r="E1051" s="5">
        <f t="shared" si="70"/>
        <v>42.94028191582639</v>
      </c>
      <c r="F1051" s="5">
        <f t="shared" si="73"/>
        <v>4834.1741400000028</v>
      </c>
      <c r="G1051" s="5">
        <f t="shared" si="71"/>
        <v>48.341741400000025</v>
      </c>
      <c r="H1051" s="5">
        <f t="shared" si="72"/>
        <v>2.1193222884699705</v>
      </c>
    </row>
    <row r="1052" spans="1:8" x14ac:dyDescent="0.25">
      <c r="A1052" t="s">
        <v>1054</v>
      </c>
      <c r="B1052">
        <v>87834.253679999994</v>
      </c>
      <c r="C1052">
        <v>83068.269029999996</v>
      </c>
      <c r="D1052">
        <v>2046</v>
      </c>
      <c r="E1052" s="5">
        <f t="shared" si="70"/>
        <v>42.929742756598237</v>
      </c>
      <c r="F1052" s="5">
        <f t="shared" si="73"/>
        <v>4765.9846499999985</v>
      </c>
      <c r="G1052" s="5">
        <f t="shared" si="71"/>
        <v>47.659846499999986</v>
      </c>
      <c r="H1052" s="5">
        <f t="shared" si="72"/>
        <v>2.3294157624633423</v>
      </c>
    </row>
    <row r="1053" spans="1:8" x14ac:dyDescent="0.25">
      <c r="A1053" t="s">
        <v>1055</v>
      </c>
      <c r="B1053">
        <v>95509.134980000003</v>
      </c>
      <c r="C1053">
        <v>88104.204530000003</v>
      </c>
      <c r="D1053">
        <v>2181</v>
      </c>
      <c r="E1053" s="5">
        <f>B1053/D1053</f>
        <v>43.791441989912883</v>
      </c>
      <c r="F1053" s="5">
        <f t="shared" si="73"/>
        <v>7404.9304499999998</v>
      </c>
      <c r="G1053" s="5">
        <f t="shared" si="71"/>
        <v>74.049304500000005</v>
      </c>
      <c r="H1053" s="5">
        <f t="shared" si="72"/>
        <v>3.3951996561210454</v>
      </c>
    </row>
    <row r="1054" spans="1:8" x14ac:dyDescent="0.25">
      <c r="A1054" t="s">
        <v>1056</v>
      </c>
      <c r="B1054">
        <v>77229.971890000001</v>
      </c>
      <c r="C1054">
        <v>71428.87</v>
      </c>
      <c r="D1054">
        <v>1763</v>
      </c>
      <c r="E1054" s="5">
        <f t="shared" ref="E1054" si="74">B1054/D1054</f>
        <v>43.805996534316506</v>
      </c>
      <c r="F1054" s="5">
        <f t="shared" si="73"/>
        <v>5801.1018900000054</v>
      </c>
      <c r="G1054" s="5">
        <f t="shared" si="71"/>
        <v>58.011018900000053</v>
      </c>
      <c r="H1054" s="5">
        <f t="shared" si="72"/>
        <v>3.2904718604651193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Elasticity of Demand</vt:lpstr>
      <vt:lpstr>Sales Case Study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Anelisa Dlamini</dc:creator>
  <cp:lastModifiedBy>Anelisa Dlamini</cp:lastModifiedBy>
  <dcterms:created xsi:type="dcterms:W3CDTF">2025-11-25T21:05:57Z</dcterms:created>
  <dcterms:modified xsi:type="dcterms:W3CDTF">2025-11-25T21:11:57Z</dcterms:modified>
</cp:coreProperties>
</file>